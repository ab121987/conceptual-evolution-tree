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b08ee5f2e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ow Database" sheetId="1" r:id="R668b3fe3ed3d4582"/>
    <x:sheet xmlns:r="http://schemas.openxmlformats.org/officeDocument/2006/relationships" name="Lists" sheetId="2" r:id="R0a90621fb61049b0"/>
    <x:sheet xmlns:r="http://schemas.openxmlformats.org/officeDocument/2006/relationships" name="How to use" sheetId="3" r:id="R7937f41ae3b7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2410C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ac553c3704ea0" /><Relationship Type="http://schemas.openxmlformats.org/officeDocument/2006/relationships/theme" Target="/xl/theme/theme1.xml" Id="R0d0c34641e85476f" /><Relationship Type="http://schemas.openxmlformats.org/officeDocument/2006/relationships/sharedStrings" Target="/xl/sharedStrings.xml" Id="R2754a83308e3498a" /><Relationship Type="http://schemas.openxmlformats.org/officeDocument/2006/relationships/worksheet" Target="/xl/worksheets/sheet1.xml" Id="R668b3fe3ed3d4582" /><Relationship Type="http://schemas.openxmlformats.org/officeDocument/2006/relationships/worksheet" Target="/xl/worksheets/sheet2.xml" Id="R0a90621fb61049b0" /><Relationship Type="http://schemas.openxmlformats.org/officeDocument/2006/relationships/worksheet" Target="/xl/worksheets/sheet3.xml" Id="R7937f41ae3b74fd1" /></Relationships>
</file>

<file path=xl/tables/table1.xml><?xml version="1.0" encoding="utf-8"?>
<x:table xmlns:x="http://schemas.openxmlformats.org/spreadsheetml/2006/main" id="1" name="LinearFabricationFlowsStage1" displayName="LinearFabricationFlowsStage1" ref="A1:AL113" headerRowCount="1">
  <x:tableColumns count="38">
    <x:tableColumn id="1" name="flow_id"/>
    <x:tableColumn id="2" name="source"/>
    <x:tableColumn id="3" name="target"/>
    <x:tableColumn id="4" name="source_detail"/>
    <x:tableColumn id="5" name="target_detail"/>
    <x:tableColumn id="6" name="label"/>
    <x:tableColumn id="7" name="flow_family"/>
    <x:tableColumn id="8" name="quantity"/>
    <x:tableColumn id="9" name="unit"/>
    <x:tableColumn id="10" name="reference_year"/>
    <x:tableColumn id="11" name="geography"/>
    <x:tableColumn id="12" name="data_status"/>
    <x:tableColumn id="13" name="render_quantitative"/>
    <x:tableColumn id="14" name="contributes_to_stage_balance"/>
    <x:tableColumn id="15" name="default_visibility"/>
    <x:tableColumn id="16" name="aggregation_group"/>
    <x:tableColumn id="17" name="product_class"/>
    <x:tableColumn id="18" name="is_final_product_end_of_use"/>
    <x:tableColumn id="19" name="balance_group"/>
    <x:tableColumn id="20" name="measurement_role"/>
    <x:tableColumn id="21" name="source_id"/>
    <x:tableColumn id="22" name="source_name"/>
    <x:tableColumn id="23" name="source_url"/>
    <x:tableColumn id="24" name="source_record"/>
    <x:tableColumn id="25" name="methodology_note"/>
    <x:tableColumn id="26" name="scope_note"/>
    <x:tableColumn id="27" name="mapping_confidence"/>
    <x:tableColumn id="28" name="last_verified"/>
    <x:tableColumn id="29" name="excluded_from_default_scope"/>
    <x:tableColumn id="30" name="notes"/>
    <x:tableColumn id="31" name="estimates"/>
    <x:tableColumn id="32" name="associated_sources"/>
    <x:tableColumn id="33" name="display_title"/>
    <x:tableColumn id="34" name="what_is_represented"/>
    <x:tableColumn id="35" name="ecological_impact"/>
    <x:tableColumn id="36" name="recovery_process"/>
    <x:tableColumn id="37" name="hover_summary"/>
    <x:tableColumn id="38" name="source_displa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e1aaa952f745c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2" hidden="0" customWidth="1"/>
    <x:col min="5" max="5" width="22" hidden="0" customWidth="1"/>
    <x:col min="6" max="6" width="32" hidden="0" customWidth="1"/>
    <x:col min="7" max="7" width="20" hidden="0" customWidth="1"/>
    <x:col min="8" max="8" width="12" hidden="0" customWidth="1"/>
    <x:col min="9" max="9" width="14" hidden="0" customWidth="1"/>
    <x:col min="10" max="10" width="18" hidden="0" customWidth="1"/>
    <x:col min="11" max="11" width="22" hidden="0" customWidth="1"/>
    <x:col min="12" max="12" width="26" hidden="0" customWidth="1"/>
    <x:col min="13" max="13" width="17" hidden="0" customWidth="1"/>
    <x:col min="14" max="14" width="17" hidden="0" customWidth="1"/>
    <x:col min="15" max="15" width="17" hidden="0" customWidth="1"/>
    <x:col min="16" max="16" width="22" hidden="0" customWidth="1"/>
    <x:col min="17" max="17" width="24" hidden="0" customWidth="1"/>
    <x:col min="18" max="18" width="18" hidden="0" customWidth="1"/>
    <x:col min="19" max="19" width="22" hidden="0" customWidth="1"/>
    <x:col min="20" max="20" width="24" hidden="0" customWidth="1"/>
    <x:col min="21" max="21" width="22" hidden="0" customWidth="1"/>
    <x:col min="22" max="22" width="35" hidden="0" customWidth="1"/>
    <x:col min="23" max="23" width="42" hidden="0" customWidth="1"/>
    <x:col min="24" max="24" width="38" hidden="0" customWidth="1"/>
    <x:col min="25" max="25" width="48" hidden="0" customWidth="1"/>
    <x:col min="26" max="26" width="48" hidden="0" customWidth="1"/>
    <x:col min="27" max="27" width="18" hidden="0" customWidth="1"/>
    <x:col min="28" max="28" width="16" hidden="0" customWidth="1"/>
    <x:col min="29" max="29" width="20" hidden="0" customWidth="1"/>
    <x:col min="30" max="30" width="38" hidden="0" customWidth="1"/>
    <x:col min="31" max="31" width="14" hidden="0" customWidth="1"/>
    <x:col min="32" max="32" width="42" hidden="0" customWidth="1"/>
    <x:col min="33" max="33" width="34" hidden="0" customWidth="1"/>
    <x:col min="34" max="34" width="58" hidden="0" customWidth="1"/>
    <x:col min="35" max="35" width="58" hidden="0" customWidth="1"/>
    <x:col min="36" max="36" width="30" hidden="0" customWidth="1"/>
    <x:col min="37" max="37" width="46" hidden="0" customWidth="1"/>
    <x:col min="38" max="38" width="48" hidden="0" customWidth="1"/>
  </x:cols>
  <x:sheetData>
    <x:row r="1">
      <x:c r="A1" s="5" t="str">
        <x:v>flow_id</x:v>
      </x:c>
      <x:c r="B1" s="5" t="str">
        <x:v>source</x:v>
      </x:c>
      <x:c r="C1" s="5" t="str">
        <x:v>target</x:v>
      </x:c>
      <x:c r="D1" s="5" t="str">
        <x:v>source_detail</x:v>
      </x:c>
      <x:c r="E1" s="5" t="str">
        <x:v>target_detail</x:v>
      </x:c>
      <x:c r="F1" s="5" t="str">
        <x:v>label</x:v>
      </x:c>
      <x:c r="G1" s="5" t="str">
        <x:v>flow_family</x:v>
      </x:c>
      <x:c r="H1" s="5" t="str">
        <x:v>quantity</x:v>
      </x:c>
      <x:c r="I1" s="5" t="str">
        <x:v>unit</x:v>
      </x:c>
      <x:c r="J1" s="5" t="str">
        <x:v>reference_year</x:v>
      </x:c>
      <x:c r="K1" s="5" t="str">
        <x:v>geography</x:v>
      </x:c>
      <x:c r="L1" s="5" t="str">
        <x:v>data_status</x:v>
      </x:c>
      <x:c r="M1" s="5" t="str">
        <x:v>render_quantitative</x:v>
      </x:c>
      <x:c r="N1" s="5" t="str">
        <x:v>contributes_to_stage_balance</x:v>
      </x:c>
      <x:c r="O1" s="5" t="str">
        <x:v>default_visibility</x:v>
      </x:c>
      <x:c r="P1" s="5" t="str">
        <x:v>aggregation_group</x:v>
      </x:c>
      <x:c r="Q1" s="5" t="str">
        <x:v>product_class</x:v>
      </x:c>
      <x:c r="R1" s="5" t="str">
        <x:v>is_final_product_end_of_use</x:v>
      </x:c>
      <x:c r="S1" s="5" t="str">
        <x:v>balance_group</x:v>
      </x:c>
      <x:c r="T1" s="5" t="str">
        <x:v>measurement_role</x:v>
      </x:c>
      <x:c r="U1" s="5" t="str">
        <x:v>source_id</x:v>
      </x:c>
      <x:c r="V1" s="5" t="str">
        <x:v>source_name</x:v>
      </x:c>
      <x:c r="W1" s="5" t="str">
        <x:v>source_url</x:v>
      </x:c>
      <x:c r="X1" s="5" t="str">
        <x:v>source_record</x:v>
      </x:c>
      <x:c r="Y1" s="5" t="str">
        <x:v>methodology_note</x:v>
      </x:c>
      <x:c r="Z1" s="5" t="str">
        <x:v>scope_note</x:v>
      </x:c>
      <x:c r="AA1" s="5" t="str">
        <x:v>mapping_confidence</x:v>
      </x:c>
      <x:c r="AB1" s="5" t="str">
        <x:v>last_verified</x:v>
      </x:c>
      <x:c r="AC1" s="5" t="str">
        <x:v>excluded_from_default_scope</x:v>
      </x:c>
      <x:c r="AD1" s="5" t="str">
        <x:v>notes</x:v>
      </x:c>
      <x:c r="AE1" s="5" t="str">
        <x:v>estimates</x:v>
      </x:c>
      <x:c r="AF1" s="5" t="str">
        <x:v>associated_sources</x:v>
      </x:c>
      <x:c r="AG1" s="13" t="str">
        <x:v>display_title</x:v>
      </x:c>
      <x:c r="AH1" s="13" t="str">
        <x:v>what_is_represented</x:v>
      </x:c>
      <x:c r="AI1" s="13" t="str">
        <x:v>ecological_impact</x:v>
      </x:c>
      <x:c r="AJ1" s="13" t="str">
        <x:v>recovery_process</x:v>
      </x:c>
      <x:c r="AK1" s="13" t="str">
        <x:v>hover_summary</x:v>
      </x:c>
      <x:c r="AL1" s="13" t="str">
        <x:v>source_display</x:v>
      </x:c>
    </x:row>
    <x:row r="2">
      <x:c r="A2" s="18" t="str">
        <x:v>UK-STRUCT-001</x:v>
      </x:c>
      <x:c r="B2" s="18" t="str">
        <x:v>Virgin Resources</x:v>
      </x:c>
      <x:c r="C2" s="18" t="str">
        <x:v>Extraction</x:v>
      </x:c>
      <x:c r="D2" s="18" t="str"/>
      <x:c r="E2" s="18" t="str"/>
      <x:c r="F2" s="18" t="str">
        <x:v>Virgin Resources → Extraction</x:v>
      </x:c>
      <x:c r="G2" s="18" t="str">
        <x:v>StructuralRelationship</x:v>
      </x:c>
      <x:c r="H2" s="20" t="str"/>
      <x:c r="I2" s="18" t="str"/>
      <x:c r="J2" s="18" t="str"/>
      <x:c r="K2" s="18" t="str"/>
      <x:c r="L2" s="18" t="str">
        <x:v>unresolved_structural_relationship</x:v>
      </x:c>
      <x:c r="M2" s="18" t="str">
        <x:v>false</x:v>
      </x:c>
      <x:c r="N2" s="18" t="str">
        <x:v>false</x:v>
      </x:c>
      <x:c r="O2" s="18" t="str">
        <x:v>structural</x:v>
      </x:c>
      <x:c r="P2" s="18" t="str">
        <x:v>primary_backbone</x:v>
      </x:c>
      <x:c r="Q2" s="18" t="str"/>
      <x:c r="R2" s="18" t="str"/>
      <x:c r="S2" s="18" t="str"/>
      <x:c r="T2" s="18" t="str">
        <x:v>structural_required</x:v>
      </x:c>
      <x:c r="U2" s="18" t="str"/>
      <x:c r="V2" s="18" t="str"/>
      <x:c r="W2" s="18" t="str"/>
      <x:c r="X2" s="18" t="str"/>
      <x:c r="Y2" s="18" t="str">
        <x:v>Required conceptual relationship in the linear-fabrication backbone. Quantified material streams overlay this relationship where evidence exists.</x:v>
      </x:c>
      <x:c r="Z2" s="18" t="str">
        <x:v>Always retain visually; render as a low-opacity/hatched not-to-scale connection if no quantitative stream occupies the relationship.</x:v>
      </x:c>
      <x:c r="AA2" s="18" t="str">
        <x:v>high</x:v>
      </x:c>
      <x:c r="AB2" s="18" t="str">
        <x:v>2026-07-24</x:v>
      </x:c>
      <x:c r="AC2" s="18" t="str">
        <x:v>false</x:v>
      </x:c>
      <x:c r="AD2" s="18" t="str"/>
      <x:c r="AE2" s="20" t="str"/>
      <x:c r="AF2" s="18" t="str"/>
      <x:c r="AG2" s="18" t="str">
        <x:v>Virgin Resources → Extraction</x:v>
      </x:c>
      <x:c r="AH2" s="18" t="str">
        <x:v>A non-quantified structural link showing virgin material entering extraction or harvesting.</x:v>
      </x:c>
      <x:c r="AI2" s="18" t="str">
        <x:v>The link keeps the linear sequence visible, but no ecological consequence or material quantity is assigned to it.</x:v>
      </x:c>
      <x:c r="AJ2" s="18" t="str">
        <x:v>Not applicable</x:v>
      </x:c>
      <x:c r="AK2" s="18" t="str">
        <x:v>Known system relationship | Quantity unresolved | Not to scale</x:v>
      </x:c>
      <x:c r="AL2" s="18" t="str">
        <x:v>No direct quantitative source — conceptual or structural relationship</x:v>
      </x:c>
    </x:row>
    <x:row r="3">
      <x:c r="A3" s="18" t="str">
        <x:v>UK-STRUCT-002</x:v>
      </x:c>
      <x:c r="B3" s="18" t="str">
        <x:v>Extraction</x:v>
      </x:c>
      <x:c r="C3" s="18" t="str">
        <x:v>Material Processing</x:v>
      </x:c>
      <x:c r="D3" s="18" t="str"/>
      <x:c r="E3" s="18" t="str"/>
      <x:c r="F3" s="18" t="str">
        <x:v>Extraction → Material Processing</x:v>
      </x:c>
      <x:c r="G3" s="18" t="str">
        <x:v>StructuralRelationship</x:v>
      </x:c>
      <x:c r="H3" s="20" t="str"/>
      <x:c r="I3" s="18" t="str"/>
      <x:c r="J3" s="18" t="str"/>
      <x:c r="K3" s="18" t="str"/>
      <x:c r="L3" s="18" t="str">
        <x:v>unresolved_structural_relationship</x:v>
      </x:c>
      <x:c r="M3" s="18" t="str">
        <x:v>false</x:v>
      </x:c>
      <x:c r="N3" s="18" t="str">
        <x:v>false</x:v>
      </x:c>
      <x:c r="O3" s="18" t="str">
        <x:v>structural</x:v>
      </x:c>
      <x:c r="P3" s="18" t="str">
        <x:v>primary_backbone</x:v>
      </x:c>
      <x:c r="Q3" s="18" t="str"/>
      <x:c r="R3" s="18" t="str"/>
      <x:c r="S3" s="18" t="str"/>
      <x:c r="T3" s="18" t="str">
        <x:v>structural_required</x:v>
      </x:c>
      <x:c r="U3" s="18" t="str"/>
      <x:c r="V3" s="18" t="str"/>
      <x:c r="W3" s="18" t="str"/>
      <x:c r="X3" s="18" t="str"/>
      <x:c r="Y3" s="18" t="str">
        <x:v>Required conceptual relationship in the linear-fabrication backbone. Quantified material streams overlay this relationship where evidence exists.</x:v>
      </x:c>
      <x:c r="Z3" s="18" t="str">
        <x:v>Always retain visually; render as a low-opacity/hatched not-to-scale connection if no quantitative stream occupies the relationship.</x:v>
      </x:c>
      <x:c r="AA3" s="18" t="str">
        <x:v>high</x:v>
      </x:c>
      <x:c r="AB3" s="18" t="str">
        <x:v>2026-07-24</x:v>
      </x:c>
      <x:c r="AC3" s="18" t="str">
        <x:v>false</x:v>
      </x:c>
      <x:c r="AD3" s="18" t="str"/>
      <x:c r="AE3" s="20" t="str"/>
      <x:c r="AF3" s="18" t="str"/>
      <x:c r="AG3" s="18" t="str">
        <x:v>Extraction → Material Processing</x:v>
      </x:c>
      <x:c r="AH3" s="18" t="str">
        <x:v>A non-quantified structural link showing extracted material moving into refining, preparation or primary processing.</x:v>
      </x:c>
      <x:c r="AI3" s="18" t="str">
        <x:v>The link keeps the linear sequence visible, but no ecological consequence or material quantity is assigned to it.</x:v>
      </x:c>
      <x:c r="AJ3" s="18" t="str">
        <x:v>Not applicable</x:v>
      </x:c>
      <x:c r="AK3" s="18" t="str">
        <x:v>Known system relationship | Quantity unresolved | Not to scale</x:v>
      </x:c>
      <x:c r="AL3" s="18" t="str">
        <x:v>No direct quantitative source — conceptual or structural relationship</x:v>
      </x:c>
    </x:row>
    <x:row r="4">
      <x:c r="A4" s="18" t="str">
        <x:v>UK-STRUCT-003</x:v>
      </x:c>
      <x:c r="B4" s="18" t="str">
        <x:v>Material Processing</x:v>
      </x:c>
      <x:c r="C4" s="18" t="str">
        <x:v>Fabrication / Manufacture</x:v>
      </x:c>
      <x:c r="D4" s="18" t="str"/>
      <x:c r="E4" s="18" t="str"/>
      <x:c r="F4" s="18" t="str">
        <x:v>Material Processing → Fabrication / Manufacture</x:v>
      </x:c>
      <x:c r="G4" s="18" t="str">
        <x:v>StructuralRelationship</x:v>
      </x:c>
      <x:c r="H4" s="20" t="str"/>
      <x:c r="I4" s="18" t="str"/>
      <x:c r="J4" s="18" t="str"/>
      <x:c r="K4" s="18" t="str"/>
      <x:c r="L4" s="18" t="str">
        <x:v>unresolved_structural_relationship</x:v>
      </x:c>
      <x:c r="M4" s="18" t="str">
        <x:v>false</x:v>
      </x:c>
      <x:c r="N4" s="18" t="str">
        <x:v>false</x:v>
      </x:c>
      <x:c r="O4" s="18" t="str">
        <x:v>structural</x:v>
      </x:c>
      <x:c r="P4" s="18" t="str">
        <x:v>primary_backbone</x:v>
      </x:c>
      <x:c r="Q4" s="18" t="str"/>
      <x:c r="R4" s="18" t="str"/>
      <x:c r="S4" s="18" t="str"/>
      <x:c r="T4" s="18" t="str">
        <x:v>structural_required</x:v>
      </x:c>
      <x:c r="U4" s="18" t="str"/>
      <x:c r="V4" s="18" t="str"/>
      <x:c r="W4" s="18" t="str"/>
      <x:c r="X4" s="18" t="str"/>
      <x:c r="Y4" s="18" t="str">
        <x:v>Required conceptual relationship in the linear-fabrication backbone. Quantified material streams overlay this relationship where evidence exists.</x:v>
      </x:c>
      <x:c r="Z4" s="18" t="str">
        <x:v>Always retain visually; render as a low-opacity/hatched not-to-scale connection if no quantitative stream occupies the relationship.</x:v>
      </x:c>
      <x:c r="AA4" s="18" t="str">
        <x:v>high</x:v>
      </x:c>
      <x:c r="AB4" s="18" t="str">
        <x:v>2026-07-24</x:v>
      </x:c>
      <x:c r="AC4" s="18" t="str">
        <x:v>false</x:v>
      </x:c>
      <x:c r="AD4" s="18" t="str"/>
      <x:c r="AE4" s="20" t="str"/>
      <x:c r="AF4" s="18" t="str"/>
      <x:c r="AG4" s="18" t="str">
        <x:v>Material Processing → Fabrication / Manufacture</x:v>
      </x:c>
      <x:c r="AH4" s="18" t="str">
        <x:v>A non-quantified structural link showing processed feedstocks moving into product and component manufacture.</x:v>
      </x:c>
      <x:c r="AI4" s="18" t="str">
        <x:v>The link keeps the linear sequence visible, but no ecological consequence or material quantity is assigned to it.</x:v>
      </x:c>
      <x:c r="AJ4" s="18" t="str">
        <x:v>Not applicable</x:v>
      </x:c>
      <x:c r="AK4" s="18" t="str">
        <x:v>Known system relationship | Quantity unresolved | Not to scale</x:v>
      </x:c>
      <x:c r="AL4" s="18" t="str">
        <x:v>No direct quantitative source — conceptual or structural relationship</x:v>
      </x:c>
    </x:row>
    <x:row r="5">
      <x:c r="A5" s="18" t="str">
        <x:v>UK-STRUCT-004</x:v>
      </x:c>
      <x:c r="B5" s="18" t="str">
        <x:v>Fabrication / Manufacture</x:v>
      </x:c>
      <x:c r="C5" s="18" t="str">
        <x:v>Use / Consumption</x:v>
      </x:c>
      <x:c r="D5" s="18" t="str"/>
      <x:c r="E5" s="18" t="str"/>
      <x:c r="F5" s="18" t="str">
        <x:v>Fabrication / Manufacture → Use / Consumption</x:v>
      </x:c>
      <x:c r="G5" s="18" t="str">
        <x:v>StructuralRelationship</x:v>
      </x:c>
      <x:c r="H5" s="20" t="str"/>
      <x:c r="I5" s="18" t="str"/>
      <x:c r="J5" s="18" t="str"/>
      <x:c r="K5" s="18" t="str"/>
      <x:c r="L5" s="18" t="str">
        <x:v>unresolved_structural_relationship</x:v>
      </x:c>
      <x:c r="M5" s="18" t="str">
        <x:v>false</x:v>
      </x:c>
      <x:c r="N5" s="18" t="str">
        <x:v>false</x:v>
      </x:c>
      <x:c r="O5" s="18" t="str">
        <x:v>structural</x:v>
      </x:c>
      <x:c r="P5" s="18" t="str">
        <x:v>primary_backbone</x:v>
      </x:c>
      <x:c r="Q5" s="18" t="str"/>
      <x:c r="R5" s="18" t="str"/>
      <x:c r="S5" s="18" t="str"/>
      <x:c r="T5" s="18" t="str">
        <x:v>structural_required</x:v>
      </x:c>
      <x:c r="U5" s="18" t="str"/>
      <x:c r="V5" s="18" t="str"/>
      <x:c r="W5" s="18" t="str"/>
      <x:c r="X5" s="18" t="str"/>
      <x:c r="Y5" s="18" t="str">
        <x:v>Required conceptual relationship in the linear-fabrication backbone. Quantified material streams overlay this relationship where evidence exists.</x:v>
      </x:c>
      <x:c r="Z5" s="18" t="str">
        <x:v>Always retain visually; render as a low-opacity/hatched not-to-scale connection if no quantitative stream occupies the relationship.</x:v>
      </x:c>
      <x:c r="AA5" s="18" t="str">
        <x:v>high</x:v>
      </x:c>
      <x:c r="AB5" s="18" t="str">
        <x:v>2026-07-24</x:v>
      </x:c>
      <x:c r="AC5" s="18" t="str">
        <x:v>false</x:v>
      </x:c>
      <x:c r="AD5" s="18" t="str"/>
      <x:c r="AE5" s="20" t="str"/>
      <x:c r="AF5" s="18" t="str"/>
      <x:c r="AG5" s="18" t="str">
        <x:v>Fabrication / Manufacture → Use / Consumption</x:v>
      </x:c>
      <x:c r="AH5" s="18" t="str">
        <x:v>A non-quantified structural link showing manufactured products entering service, ownership or consumption.</x:v>
      </x:c>
      <x:c r="AI5" s="18" t="str">
        <x:v>The link keeps the linear sequence visible, but no ecological consequence or material quantity is assigned to it.</x:v>
      </x:c>
      <x:c r="AJ5" s="18" t="str">
        <x:v>Not applicable</x:v>
      </x:c>
      <x:c r="AK5" s="18" t="str">
        <x:v>Known system relationship | Quantity unresolved | Not to scale</x:v>
      </x:c>
      <x:c r="AL5" s="18" t="str">
        <x:v>No direct quantitative source — conceptual or structural relationship</x:v>
      </x:c>
    </x:row>
    <x:row r="6">
      <x:c r="A6" s="18" t="str">
        <x:v>UK-STRUCT-005</x:v>
      </x:c>
      <x:c r="B6" s="18" t="str">
        <x:v>Use / Consumption</x:v>
      </x:c>
      <x:c r="C6" s="18" t="str">
        <x:v>End of Use</x:v>
      </x:c>
      <x:c r="D6" s="18" t="str"/>
      <x:c r="E6" s="18" t="str"/>
      <x:c r="F6" s="18" t="str">
        <x:v>Use / Consumption → End of Use</x:v>
      </x:c>
      <x:c r="G6" s="18" t="str">
        <x:v>StructuralRelationship</x:v>
      </x:c>
      <x:c r="H6" s="20" t="str"/>
      <x:c r="I6" s="18" t="str"/>
      <x:c r="J6" s="18" t="str"/>
      <x:c r="K6" s="18" t="str"/>
      <x:c r="L6" s="18" t="str">
        <x:v>unresolved_structural_relationship</x:v>
      </x:c>
      <x:c r="M6" s="18" t="str">
        <x:v>false</x:v>
      </x:c>
      <x:c r="N6" s="18" t="str">
        <x:v>false</x:v>
      </x:c>
      <x:c r="O6" s="18" t="str">
        <x:v>structural</x:v>
      </x:c>
      <x:c r="P6" s="18" t="str">
        <x:v>primary_backbone</x:v>
      </x:c>
      <x:c r="Q6" s="18" t="str"/>
      <x:c r="R6" s="18" t="str"/>
      <x:c r="S6" s="18" t="str"/>
      <x:c r="T6" s="18" t="str">
        <x:v>structural_required</x:v>
      </x:c>
      <x:c r="U6" s="18" t="str"/>
      <x:c r="V6" s="18" t="str"/>
      <x:c r="W6" s="18" t="str"/>
      <x:c r="X6" s="18" t="str"/>
      <x:c r="Y6" s="18" t="str">
        <x:v>Required conceptual relationship in the linear-fabrication backbone. Quantified material streams overlay this relationship where evidence exists.</x:v>
      </x:c>
      <x:c r="Z6" s="18" t="str">
        <x:v>Always retain visually; render as a low-opacity/hatched not-to-scale connection if no quantitative stream occupies the relationship.</x:v>
      </x:c>
      <x:c r="AA6" s="18" t="str">
        <x:v>high</x:v>
      </x:c>
      <x:c r="AB6" s="18" t="str">
        <x:v>2026-07-24</x:v>
      </x:c>
      <x:c r="AC6" s="18" t="str">
        <x:v>false</x:v>
      </x:c>
      <x:c r="AD6" s="18" t="str"/>
      <x:c r="AE6" s="20" t="str"/>
      <x:c r="AF6" s="18" t="str"/>
      <x:c r="AG6" s="18" t="str">
        <x:v>Use / Consumption → End of Use</x:v>
      </x:c>
      <x:c r="AH6" s="18" t="str">
        <x:v>A non-quantified structural link showing products leaving their current use and entering end-of-use routes.</x:v>
      </x:c>
      <x:c r="AI6" s="18" t="str">
        <x:v>The link keeps the linear sequence visible, but no ecological consequence or material quantity is assigned to it.</x:v>
      </x:c>
      <x:c r="AJ6" s="18" t="str">
        <x:v>Not applicable</x:v>
      </x:c>
      <x:c r="AK6" s="18" t="str">
        <x:v>Known system relationship | Quantity unresolved | Not to scale</x:v>
      </x:c>
      <x:c r="AL6" s="18" t="str">
        <x:v>No direct quantitative source — conceptual or structural relationship</x:v>
      </x:c>
    </x:row>
    <x:row r="7">
      <x:c r="A7" s="18" t="str">
        <x:v>UK-AGG-001</x:v>
      </x:c>
      <x:c r="B7" s="18" t="str">
        <x:v>Virgin Resources</x:v>
      </x:c>
      <x:c r="C7" s="18" t="str">
        <x:v>Extraction</x:v>
      </x:c>
      <x:c r="D7" s="18" t="str"/>
      <x:c r="E7" s="18" t="str"/>
      <x:c r="F7" s="18" t="str">
        <x:v>Primary construction aggregates</x:v>
      </x:c>
      <x:c r="G7" s="18" t="str">
        <x:v>Material</x:v>
      </x:c>
      <x:c r="H7" s="20" t="n">
        <x:v>159.3</x:v>
      </x:c>
      <x:c r="I7" s="18" t="str">
        <x:v>Mt</x:v>
      </x:c>
      <x:c r="J7" s="18" t="str">
        <x:v>2024</x:v>
      </x:c>
      <x:c r="K7" s="18" t="str">
        <x:v>Great Britain</x:v>
      </x:c>
      <x:c r="L7" s="18" t="str">
        <x:v>source_supported</x:v>
      </x:c>
      <x:c r="M7" s="18" t="str">
        <x:v>true</x:v>
      </x:c>
      <x:c r="N7" s="18" t="str">
        <x:v>false</x:v>
      </x:c>
      <x:c r="O7" s="18" t="str">
        <x:v>primary</x:v>
      </x:c>
      <x:c r="P7" s="18" t="str">
        <x:v>aggregates</x:v>
      </x:c>
      <x:c r="Q7" s="18" t="str">
        <x:v>Construction Aggregates</x:v>
      </x:c>
      <x:c r="R7" s="18" t="str"/>
      <x:c r="S7" s="18" t="str">
        <x:v>gb_aggregates_2024</x:v>
      </x:c>
      <x:c r="T7" s="18" t="str">
        <x:v>selected_evidence_stream</x:v>
      </x:c>
      <x:c r="U7" s="18" t="str">
        <x:v>MPA_PROFILE_2025</x:v>
      </x:c>
      <x:c r="V7" s="18" t="str">
        <x:v>Mineral Products Association — Profile of the UK Mineral Products Industry 2025</x:v>
      </x:c>
      <x:c r="W7" s="18" t="str">
        <x:v>https://mineralproducts.org/MPA/media/root/Publications/2025/Profile_of_the_UK_Mineral_Products_Industry_2025.pdf</x:v>
      </x:c>
      <x:c r="X7" s="18" t="str">
        <x:v>2024 GB primary aggregate supply: 109.3 Mt crushed rock + 50.0 Mt sand/gravel</x:v>
      </x:c>
      <x:c r="Y7" s="18" t="str">
        <x:v>Primary aggregate supply figure. It is not the total mass of all UK virgin materials.</x:v>
      </x:c>
      <x:c r="Z7" s="18" t="str">
        <x:v>Strong structural-material stream.</x:v>
      </x:c>
      <x:c r="AA7" s="18" t="str">
        <x:v>high</x:v>
      </x:c>
      <x:c r="AB7" s="18" t="str">
        <x:v>2026-07-24</x:v>
      </x:c>
      <x:c r="AC7" s="18" t="str"/>
      <x:c r="AD7" s="18" t="str"/>
      <x:c r="AE7" s="20" t="str"/>
      <x:c r="AF7" s="18" t="str"/>
      <x:c r="AG7" s="18" t="str">
        <x:v>Primary construction aggregates</x:v>
      </x:c>
      <x:c r="AH7" s="18" t="str">
        <x:v>The reported supply of primary crushed rock and sand/gravel entering the Great Britain construction-aggregate system.</x:v>
      </x:c>
      <x:c r="AI7" s="18" t="str">
        <x:v>Using recovered aggregate can reduce demand for quarrying and disposal, but extraction, crushing and transport still disturb land, use energy and generate dust and emissions.</x:v>
      </x:c>
      <x:c r="AJ7" s="18" t="str">
        <x:v>Not applicable</x:v>
      </x:c>
      <x:c r="AK7" s="18" t="str">
        <x:v>159.3 Mt primary aggregates | Crushed rock and sand/gravel | Great Britain, 2024</x:v>
      </x:c>
      <x:c r="AL7" s="18" t="str">
        <x:v>Mineral Products Association — Profile of the UK Mineral Products Industry 2025 (data: 2024)</x:v>
      </x:c>
    </x:row>
    <x:row r="8">
      <x:c r="A8" s="18" t="str">
        <x:v>UK-AGG-002</x:v>
      </x:c>
      <x:c r="B8" s="18" t="str">
        <x:v>Extraction</x:v>
      </x:c>
      <x:c r="C8" s="18" t="str">
        <x:v>Material Processing</x:v>
      </x:c>
      <x:c r="D8" s="18" t="str"/>
      <x:c r="E8" s="18" t="str"/>
      <x:c r="F8" s="18" t="str">
        <x:v>Primary aggregates entering material supply</x:v>
      </x:c>
      <x:c r="G8" s="18" t="str">
        <x:v>Material</x:v>
      </x:c>
      <x:c r="H8" s="20" t="str"/>
      <x:c r="I8" s="18" t="str">
        <x:v>Mt</x:v>
      </x:c>
      <x:c r="J8" s="18" t="str">
        <x:v>2024</x:v>
      </x:c>
      <x:c r="K8" s="18" t="str">
        <x:v>Great Britain</x:v>
      </x:c>
      <x:c r="L8" s="18" t="str">
        <x:v>derived_from_source_supported</x:v>
      </x:c>
      <x:c r="M8" s="18" t="str">
        <x:v>true</x:v>
      </x:c>
      <x:c r="N8" s="18" t="str">
        <x:v>false</x:v>
      </x:c>
      <x:c r="O8" s="18" t="str">
        <x:v>primary</x:v>
      </x:c>
      <x:c r="P8" s="18" t="str">
        <x:v>aggregates</x:v>
      </x:c>
      <x:c r="Q8" s="18" t="str">
        <x:v>Construction Aggregates</x:v>
      </x:c>
      <x:c r="R8" s="18" t="str"/>
      <x:c r="S8" s="18" t="str">
        <x:v>gb_aggregates_2024</x:v>
      </x:c>
      <x:c r="T8" s="18" t="str">
        <x:v>stage_transfer_proxy</x:v>
      </x:c>
      <x:c r="U8" s="18" t="str">
        <x:v>MPA_PROFILE_2025</x:v>
      </x:c>
      <x:c r="V8" s="18" t="str">
        <x:v>Mineral Products Association — Profile 2025</x:v>
      </x:c>
      <x:c r="W8" s="18" t="str">
        <x:v>https://mineralproducts.org/MPA/media/root/Publications/2025/Profile_of_the_UK_Mineral_Products_Industry_2025.pdf</x:v>
      </x:c>
      <x:c r="X8" s="18" t="str"/>
      <x:c r="Y8" s="18" t="str">
        <x:v>Stage-transfer estimate: the 159.3 Mt primary aggregate supply is carried from Extraction to Material Processing/Supply for diagrammatic continuity. This does not imply every tonne undergoes a distinct industrial processing step.</x:v>
      </x:c>
      <x:c r="Z8" s="18" t="str">
        <x:v>Designer stage mapping of a source-supported quantity.</x:v>
      </x:c>
      <x:c r="AA8" s="18" t="str">
        <x:v>medium</x:v>
      </x:c>
      <x:c r="AB8" s="18" t="str">
        <x:v>2026-07-24</x:v>
      </x:c>
      <x:c r="AC8" s="18" t="str"/>
      <x:c r="AD8" s="18" t="str"/>
      <x:c r="AE8" s="20" t="n">
        <x:v>159.3</x:v>
      </x:c>
      <x:c r="AF8" s="18" t="str">
        <x:v>https://mineralproducts.org/MPA/media/root/Publications/2025/Profile_of_the_UK_Mineral_Products_Industry_2025.pdf</x:v>
      </x:c>
      <x:c r="AG8" s="18" t="str">
        <x:v>Primary aggregates entering material supply</x:v>
      </x:c>
      <x:c r="AH8" s="18" t="str">
        <x:v>A stage-transfer value carrying the reported primary aggregate supply into material processing and supply.</x:v>
      </x:c>
      <x:c r="AI8" s="18" t="str">
        <x:v>Using recovered aggregate can reduce demand for quarrying and disposal, but extraction, crushing and transport still disturb land, use energy and generate dust and emissions.</x:v>
      </x:c>
      <x:c r="AJ8" s="18" t="str">
        <x:v>Not applicable</x:v>
      </x:c>
      <x:c r="AK8" s="18" t="str">
        <x:v>159.3 Mt aggregates | Derived stage transfer | Great Britain, 2024</x:v>
      </x:c>
      <x:c r="AL8" s="18" t="str">
        <x:v>Mineral Products Association — Profile 2025 (data: 2024)</x:v>
      </x:c>
    </x:row>
    <x:row r="9">
      <x:c r="A9" s="18" t="str">
        <x:v>UK-AGG-003</x:v>
      </x:c>
      <x:c r="B9" s="18" t="str">
        <x:v>End of Use</x:v>
      </x:c>
      <x:c r="C9" s="18" t="str">
        <x:v>Material Processing</x:v>
      </x:c>
      <x:c r="D9" s="18" t="str"/>
      <x:c r="E9" s="18" t="str"/>
      <x:c r="F9" s="18" t="str">
        <x:v>Recycled &amp; secondary aggregates</x:v>
      </x:c>
      <x:c r="G9" s="18" t="str">
        <x:v>Material</x:v>
      </x:c>
      <x:c r="H9" s="20" t="n">
        <x:v>74.7</x:v>
      </x:c>
      <x:c r="I9" s="18" t="str">
        <x:v>Mt</x:v>
      </x:c>
      <x:c r="J9" s="18" t="str">
        <x:v>2024</x:v>
      </x:c>
      <x:c r="K9" s="18" t="str">
        <x:v>Great Britain</x:v>
      </x:c>
      <x:c r="L9" s="18" t="str">
        <x:v>source_supported</x:v>
      </x:c>
      <x:c r="M9" s="18" t="str">
        <x:v>true</x:v>
      </x:c>
      <x:c r="N9" s="18" t="str">
        <x:v>false</x:v>
      </x:c>
      <x:c r="O9" s="18" t="str">
        <x:v>primary</x:v>
      </x:c>
      <x:c r="P9" s="18" t="str">
        <x:v>aggregates</x:v>
      </x:c>
      <x:c r="Q9" s="18" t="str">
        <x:v>Recycled Construction Aggregates</x:v>
      </x:c>
      <x:c r="R9" s="18" t="str"/>
      <x:c r="S9" s="18" t="str">
        <x:v>gb_aggregates_2024</x:v>
      </x:c>
      <x:c r="T9" s="18" t="str">
        <x:v>circular_input</x:v>
      </x:c>
      <x:c r="U9" s="18" t="str">
        <x:v>MPA_PROFILE_2025</x:v>
      </x:c>
      <x:c r="V9" s="18" t="str">
        <x:v>Mineral Products Association — Profile 2025</x:v>
      </x:c>
      <x:c r="W9" s="18" t="str">
        <x:v>https://mineralproducts.org/MPA/media/root/Publications/2025/Profile_of_the_UK_Mineral_Products_Industry_2025.pdf</x:v>
      </x:c>
      <x:c r="X9" s="18" t="str">
        <x:v>74.7 Mt recycled and secondary aggregates used in 2024</x:v>
      </x:c>
      <x:c r="Y9" s="18" t="str">
        <x:v>A real recovered-material input. This is a useful large-scale return loop.</x:v>
      </x:c>
      <x:c r="Z9" s="18" t="str">
        <x:v>Recycled/secondary aggregates accounted for just under a third of total GB aggregate supply.</x:v>
      </x:c>
      <x:c r="AA9" s="18" t="str">
        <x:v>high</x:v>
      </x:c>
      <x:c r="AB9" s="18" t="str">
        <x:v>2026-07-24</x:v>
      </x:c>
      <x:c r="AC9" s="18" t="str"/>
      <x:c r="AD9" s="18" t="str"/>
      <x:c r="AE9" s="20" t="str"/>
      <x:c r="AF9" s="18" t="str"/>
      <x:c r="AG9" s="18" t="str">
        <x:v>Recycled &amp; secondary aggregates</x:v>
      </x:c>
      <x:c r="AH9" s="18" t="str">
        <x:v>Recovered construction minerals and secondary materials used as aggregate supply.</x:v>
      </x:c>
      <x:c r="AI9" s="18" t="str">
        <x:v>Using recovered aggregate can reduce demand for quarrying and disposal, but extraction, crushing and transport still disturb land, use energy and generate dust and emissions.</x:v>
      </x:c>
      <x:c r="AJ9" s="18" t="str">
        <x:v>Recovered secondary material</x:v>
      </x:c>
      <x:c r="AK9" s="18" t="str">
        <x:v>74.7 Mt recovered aggregate | Returns to material supply | Great Britain, 2024</x:v>
      </x:c>
      <x:c r="AL9" s="18" t="str">
        <x:v>Mineral Products Association — Profile 2025 (data: 2024)</x:v>
      </x:c>
    </x:row>
    <x:row r="10">
      <x:c r="A10" s="18" t="str">
        <x:v>UK-AGG-004</x:v>
      </x:c>
      <x:c r="B10" s="18" t="str">
        <x:v>Material Processing</x:v>
      </x:c>
      <x:c r="C10" s="18" t="str">
        <x:v>Fabrication / Manufacture</x:v>
      </x:c>
      <x:c r="D10" s="18" t="str"/>
      <x:c r="E10" s="18" t="str"/>
      <x:c r="F10" s="18" t="str">
        <x:v>Aggregate supply to construction/fabrication</x:v>
      </x:c>
      <x:c r="G10" s="18" t="str">
        <x:v>Material</x:v>
      </x:c>
      <x:c r="H10" s="20" t="str"/>
      <x:c r="I10" s="18" t="str">
        <x:v>Mt</x:v>
      </x:c>
      <x:c r="J10" s="18" t="str">
        <x:v>2024</x:v>
      </x:c>
      <x:c r="K10" s="18" t="str">
        <x:v>Great Britain</x:v>
      </x:c>
      <x:c r="L10" s="18" t="str">
        <x:v>derived</x:v>
      </x:c>
      <x:c r="M10" s="18" t="str">
        <x:v>true</x:v>
      </x:c>
      <x:c r="N10" s="18" t="str">
        <x:v>false</x:v>
      </x:c>
      <x:c r="O10" s="18" t="str">
        <x:v>primary</x:v>
      </x:c>
      <x:c r="P10" s="18" t="str">
        <x:v>aggregates</x:v>
      </x:c>
      <x:c r="Q10" s="18" t="str">
        <x:v>Construction Aggregates</x:v>
      </x:c>
      <x:c r="R10" s="18" t="str"/>
      <x:c r="S10" s="18" t="str">
        <x:v>gb_aggregates_2024</x:v>
      </x:c>
      <x:c r="T10" s="18" t="str">
        <x:v>derived_combined_supply</x:v>
      </x:c>
      <x:c r="U10" s="18" t="str">
        <x:v>MPA_PROFILE_2025</x:v>
      </x:c>
      <x:c r="V10" s="18" t="str">
        <x:v>Mineral Products Association — Profile 2025</x:v>
      </x:c>
      <x:c r="W10" s="18" t="str">
        <x:v>https://mineralproducts.org/MPA/media/root/Publications/2025/Profile_of_the_UK_Mineral_Products_Industry_2025.pdf</x:v>
      </x:c>
      <x:c r="X10" s="18" t="str"/>
      <x:c r="Y10" s="18" t="str">
        <x:v>Derived as 159.3 Mt primary + 74.7 Mt recycled/secondary = 234.0 Mt total aggregate supply.</x:v>
      </x:c>
      <x:c r="Z10" s="18" t="str">
        <x:v>Do not add cement or concrete constituent streams to this as though they are independent mass; some streams overlap conceptually.</x:v>
      </x:c>
      <x:c r="AA10" s="18" t="str">
        <x:v>high</x:v>
      </x:c>
      <x:c r="AB10" s="18" t="str">
        <x:v>2026-07-24</x:v>
      </x:c>
      <x:c r="AC10" s="18" t="str"/>
      <x:c r="AD10" s="18" t="str"/>
      <x:c r="AE10" s="20" t="n">
        <x:v>234</x:v>
      </x:c>
      <x:c r="AF10" s="18" t="str">
        <x:v>https://mineralproducts.org/MPA/media/root/Publications/2025/Profile_of_the_UK_Mineral_Products_Industry_2025.pdf</x:v>
      </x:c>
      <x:c r="AG10" s="18" t="str">
        <x:v>Aggregate supply to construction/fabrication</x:v>
      </x:c>
      <x:c r="AH10" s="18" t="str">
        <x:v>The combined primary and recovered aggregate supply available to construction and fabrication.</x:v>
      </x:c>
      <x:c r="AI10" s="18" t="str">
        <x:v>Using recovered aggregate can reduce demand for quarrying and disposal, but extraction, crushing and transport still disturb land, use energy and generate dust and emissions.</x:v>
      </x:c>
      <x:c r="AJ10" s="18" t="str">
        <x:v>Not applicable</x:v>
      </x:c>
      <x:c r="AK10" s="18" t="str">
        <x:v>234 Mt aggregate supply | Primary + recovered material | Great Britain, 2024</x:v>
      </x:c>
      <x:c r="AL10" s="18" t="str">
        <x:v>Mineral Products Association — Profile 2025 (data: 2024)</x:v>
      </x:c>
    </x:row>
    <x:row r="11">
      <x:c r="A11" s="18" t="str">
        <x:v>UK-AGG-005</x:v>
      </x:c>
      <x:c r="B11" s="18" t="str">
        <x:v>Fabrication / Manufacture</x:v>
      </x:c>
      <x:c r="C11" s="18" t="str">
        <x:v>Use / Consumption</x:v>
      </x:c>
      <x:c r="D11" s="18" t="str"/>
      <x:c r="E11" s="18" t="str"/>
      <x:c r="F11" s="18" t="str">
        <x:v>Aggregates incorporated into construction</x:v>
      </x:c>
      <x:c r="G11" s="18" t="str">
        <x:v>Material</x:v>
      </x:c>
      <x:c r="H11" s="20" t="str"/>
      <x:c r="I11" s="18" t="str">
        <x:v>Mt</x:v>
      </x:c>
      <x:c r="J11" s="18" t="str">
        <x:v>2024</x:v>
      </x:c>
      <x:c r="K11" s="18" t="str">
        <x:v>Great Britain</x:v>
      </x:c>
      <x:c r="L11" s="18" t="str">
        <x:v>designer_estimate_stage_transfer</x:v>
      </x:c>
      <x:c r="M11" s="18" t="str">
        <x:v>true</x:v>
      </x:c>
      <x:c r="N11" s="18" t="str">
        <x:v>false</x:v>
      </x:c>
      <x:c r="O11" s="18" t="str">
        <x:v>primary</x:v>
      </x:c>
      <x:c r="P11" s="18" t="str">
        <x:v>aggregates</x:v>
      </x:c>
      <x:c r="Q11" s="18" t="str">
        <x:v>Built Structures</x:v>
      </x:c>
      <x:c r="R11" s="18" t="str"/>
      <x:c r="S11" s="18" t="str">
        <x:v>gb_aggregates_2024</x:v>
      </x:c>
      <x:c r="T11" s="18" t="str">
        <x:v>stage_transfer_proxy</x:v>
      </x:c>
      <x:c r="U11" s="18" t="str">
        <x:v>MPA_PROFILE_2025</x:v>
      </x:c>
      <x:c r="V11" s="18" t="str">
        <x:v>Mineral Products Association — Profile 2025</x:v>
      </x:c>
      <x:c r="W11" s="18" t="str">
        <x:v>https://mineralproducts.org/MPA/media/root/Publications/2025/Profile_of_the_UK_Mineral_Products_Industry_2025.pdf</x:v>
      </x:c>
      <x:c r="X11" s="18" t="str"/>
      <x:c r="Y11" s="18" t="str">
        <x:v>First-order design estimate carrying the 234.0 Mt aggregate supply into construction/use. It assumes the annual aggregate supply is substantially incorporated into built works; it is not a measured stock-addition figure.</x:v>
      </x:c>
      <x:c r="Z11" s="18" t="str">
        <x:v>Use as a broad material-throughput picture, not a strict national material balance.</x:v>
      </x:c>
      <x:c r="AA11" s="18" t="str">
        <x:v>medium</x:v>
      </x:c>
      <x:c r="AB11" s="18" t="str">
        <x:v>2026-07-24</x:v>
      </x:c>
      <x:c r="AC11" s="18" t="str"/>
      <x:c r="AD11" s="18" t="str"/>
      <x:c r="AE11" s="20" t="n">
        <x:v>234</x:v>
      </x:c>
      <x:c r="AF11" s="18" t="str">
        <x:v>https://mineralproducts.org/MPA/media/root/Publications/2025/Profile_of_the_UK_Mineral_Products_Industry_2025.pdf</x:v>
      </x:c>
      <x:c r="AG11" s="18" t="str">
        <x:v>Aggregates incorporated into construction</x:v>
      </x:c>
      <x:c r="AH11" s="18" t="str">
        <x:v>A design estimate of aggregate supply incorporated into construction works and built structures.</x:v>
      </x:c>
      <x:c r="AI11" s="18" t="str">
        <x:v>Using recovered aggregate can reduce demand for quarrying and disposal, but extraction, crushing and transport still disturb land, use energy and generate dust and emissions.</x:v>
      </x:c>
      <x:c r="AJ11" s="18" t="str">
        <x:v>Not applicable</x:v>
      </x:c>
      <x:c r="AK11" s="18" t="str">
        <x:v>234 Mt aggregate use estimate | Incorporated into construction | Great Britain, 2024</x:v>
      </x:c>
      <x:c r="AL11" s="18" t="str">
        <x:v>Mineral Products Association — Profile 2025 (data: 2024)</x:v>
      </x:c>
    </x:row>
    <x:row r="12">
      <x:c r="A12" s="18" t="str">
        <x:v>UK-MIN-001</x:v>
      </x:c>
      <x:c r="B12" s="18" t="str">
        <x:v>Virgin Resources</x:v>
      </x:c>
      <x:c r="C12" s="18" t="str">
        <x:v>Extraction</x:v>
      </x:c>
      <x:c r="D12" s="18" t="str"/>
      <x:c r="E12" s="18" t="str"/>
      <x:c r="F12" s="18" t="str">
        <x:v>Crushed rock extracted</x:v>
      </x:c>
      <x:c r="G12" s="18" t="str">
        <x:v>Material</x:v>
      </x:c>
      <x:c r="H12" s="20" t="n">
        <x:v>118.752</x:v>
      </x:c>
      <x:c r="I12" s="18" t="str">
        <x:v>Mt</x:v>
      </x:c>
      <x:c r="J12" s="18" t="str">
        <x:v>2024</x:v>
      </x:c>
      <x:c r="K12" s="18" t="str">
        <x:v>UK landmass</x:v>
      </x:c>
      <x:c r="L12" s="18" t="str">
        <x:v>source_supported</x:v>
      </x:c>
      <x:c r="M12" s="18" t="str">
        <x:v>true</x:v>
      </x:c>
      <x:c r="N12" s="18" t="str">
        <x:v>false</x:v>
      </x:c>
      <x:c r="O12" s="18" t="str">
        <x:v>drilldown</x:v>
      </x:c>
      <x:c r="P12" s="18" t="str">
        <x:v>minerals_drilldown</x:v>
      </x:c>
      <x:c r="Q12" s="18" t="str">
        <x:v>Crushed Rock</x:v>
      </x:c>
      <x:c r="R12" s="18" t="str"/>
      <x:c r="S12" s="18" t="str">
        <x:v>bgs_minerals_2024</x:v>
      </x:c>
      <x:c r="T12" s="18" t="str">
        <x:v>constituent_drilldown</x:v>
      </x:c>
      <x:c r="U12" s="18" t="str">
        <x:v>BGS_MINERALS_2025</x:v>
      </x:c>
      <x:c r="V12" s="18" t="str">
        <x:v>British Geological Survey — UK Minerals Yearbook / MineralsUK</x:v>
      </x:c>
      <x:c r="W12" s="18" t="str">
        <x:v>https://www.bgs.ac.uk/mineralsuk/statistics/uk/</x:v>
      </x:c>
      <x:c r="X12" s="18" t="str">
        <x:v>2024 crushed rock extraction 118.752 Mt</x:v>
      </x:c>
      <x:c r="Y12" s="18" t="str">
        <x:v>Part of BGS mineral extraction statistics; may overlap conceptually with the aggregate overview.</x:v>
      </x:c>
      <x:c r="Z12" s="18" t="str"/>
      <x:c r="AA12" s="18" t="str">
        <x:v>high</x:v>
      </x:c>
      <x:c r="AB12" s="18" t="str">
        <x:v>2026-07-24</x:v>
      </x:c>
      <x:c r="AC12" s="18" t="str"/>
      <x:c r="AD12" s="18" t="str"/>
      <x:c r="AE12" s="20" t="str"/>
      <x:c r="AF12" s="18" t="str"/>
      <x:c r="AG12" s="18" t="str">
        <x:v>Crushed rock extracted</x:v>
      </x:c>
      <x:c r="AH12" s="18" t="str">
        <x:v>The reported mass of crushed rock extracted from the UK landmass.</x:v>
      </x:c>
      <x:c r="AI12" s="18" t="str">
        <x:v>Mineral extraction can alter landforms, habitats, water conditions and local air quality; the cited source reports quantity rather than a site-specific ecological assessment.</x:v>
      </x:c>
      <x:c r="AJ12" s="18" t="str">
        <x:v>Not applicable</x:v>
      </x:c>
      <x:c r="AK12" s="18" t="str">
        <x:v>118.752 Mt crushed rock | Extracted mineral | UK, 2024</x:v>
      </x:c>
      <x:c r="AL12" s="18" t="str">
        <x:v>British Geological Survey — UK Minerals Yearbook / MineralsUK (data: 2024)</x:v>
      </x:c>
    </x:row>
    <x:row r="13">
      <x:c r="A13" s="18" t="str">
        <x:v>UK-MIN-002</x:v>
      </x:c>
      <x:c r="B13" s="18" t="str">
        <x:v>Virgin Resources</x:v>
      </x:c>
      <x:c r="C13" s="18" t="str">
        <x:v>Extraction</x:v>
      </x:c>
      <x:c r="D13" s="18" t="str"/>
      <x:c r="E13" s="18" t="str"/>
      <x:c r="F13" s="18" t="str">
        <x:v>Land-won sand &amp; gravel</x:v>
      </x:c>
      <x:c r="G13" s="18" t="str">
        <x:v>Material</x:v>
      </x:c>
      <x:c r="H13" s="20" t="n">
        <x:v>38.817</x:v>
      </x:c>
      <x:c r="I13" s="18" t="str">
        <x:v>Mt</x:v>
      </x:c>
      <x:c r="J13" s="18" t="str">
        <x:v>2024</x:v>
      </x:c>
      <x:c r="K13" s="18" t="str">
        <x:v>UK landmass</x:v>
      </x:c>
      <x:c r="L13" s="18" t="str">
        <x:v>source_supported</x:v>
      </x:c>
      <x:c r="M13" s="18" t="str">
        <x:v>true</x:v>
      </x:c>
      <x:c r="N13" s="18" t="str">
        <x:v>false</x:v>
      </x:c>
      <x:c r="O13" s="18" t="str">
        <x:v>drilldown</x:v>
      </x:c>
      <x:c r="P13" s="18" t="str">
        <x:v>minerals_drilldown</x:v>
      </x:c>
      <x:c r="Q13" s="18" t="str">
        <x:v>Sand &amp; Gravel</x:v>
      </x:c>
      <x:c r="R13" s="18" t="str"/>
      <x:c r="S13" s="18" t="str">
        <x:v>bgs_minerals_2024</x:v>
      </x:c>
      <x:c r="T13" s="18" t="str">
        <x:v>constituent_drilldown</x:v>
      </x:c>
      <x:c r="U13" s="18" t="str">
        <x:v>BGS_MINERALS_2025</x:v>
      </x:c>
      <x:c r="V13" s="18" t="str">
        <x:v>British Geological Survey — MineralsUK</x:v>
      </x:c>
      <x:c r="W13" s="18" t="str">
        <x:v>https://www.bgs.ac.uk/mineralsuk/statistics/uk/</x:v>
      </x:c>
      <x:c r="X13" s="18" t="str">
        <x:v>2024 land-won sand &amp; gravel 38.817 Mt</x:v>
      </x:c>
      <x:c r="Y13" s="18" t="str"/>
      <x:c r="Z13" s="18" t="str"/>
      <x:c r="AA13" s="18" t="str">
        <x:v>high</x:v>
      </x:c>
      <x:c r="AB13" s="18" t="str">
        <x:v>2026-07-24</x:v>
      </x:c>
      <x:c r="AC13" s="18" t="str"/>
      <x:c r="AD13" s="18" t="str"/>
      <x:c r="AE13" s="20" t="str"/>
      <x:c r="AF13" s="18" t="str"/>
      <x:c r="AG13" s="18" t="str">
        <x:v>Land-won sand &amp; gravel</x:v>
      </x:c>
      <x:c r="AH13" s="18" t="str">
        <x:v>The reported mass of sand and gravel extracted from land-based UK sites.</x:v>
      </x:c>
      <x:c r="AI13" s="18" t="str">
        <x:v>Mineral extraction can alter landforms, habitats, water conditions and local air quality; the cited source reports quantity rather than a site-specific ecological assessment.</x:v>
      </x:c>
      <x:c r="AJ13" s="18" t="str">
        <x:v>Not applicable</x:v>
      </x:c>
      <x:c r="AK13" s="18" t="str">
        <x:v>38.817 Mt land-won sand and gravel | UK, 2024</x:v>
      </x:c>
      <x:c r="AL13" s="18" t="str">
        <x:v>British Geological Survey — MineralsUK (data: 2024)</x:v>
      </x:c>
    </x:row>
    <x:row r="14">
      <x:c r="A14" s="18" t="str">
        <x:v>UK-MIN-003</x:v>
      </x:c>
      <x:c r="B14" s="18" t="str">
        <x:v>Virgin Resources</x:v>
      </x:c>
      <x:c r="C14" s="18" t="str">
        <x:v>Extraction</x:v>
      </x:c>
      <x:c r="D14" s="18" t="str"/>
      <x:c r="E14" s="18" t="str"/>
      <x:c r="F14" s="18" t="str">
        <x:v>Marine-dredged sand &amp; gravel</x:v>
      </x:c>
      <x:c r="G14" s="18" t="str">
        <x:v>Material</x:v>
      </x:c>
      <x:c r="H14" s="20" t="n">
        <x:v>16.955</x:v>
      </x:c>
      <x:c r="I14" s="18" t="str">
        <x:v>Mt</x:v>
      </x:c>
      <x:c r="J14" s="18" t="str">
        <x:v>2024</x:v>
      </x:c>
      <x:c r="K14" s="18" t="str">
        <x:v>UK Continental Shelf</x:v>
      </x:c>
      <x:c r="L14" s="18" t="str">
        <x:v>source_supported</x:v>
      </x:c>
      <x:c r="M14" s="18" t="str">
        <x:v>true</x:v>
      </x:c>
      <x:c r="N14" s="18" t="str">
        <x:v>false</x:v>
      </x:c>
      <x:c r="O14" s="18" t="str">
        <x:v>drilldown</x:v>
      </x:c>
      <x:c r="P14" s="18" t="str">
        <x:v>minerals_drilldown</x:v>
      </x:c>
      <x:c r="Q14" s="18" t="str">
        <x:v>Sand &amp; Gravel</x:v>
      </x:c>
      <x:c r="R14" s="18" t="str"/>
      <x:c r="S14" s="18" t="str">
        <x:v>bgs_minerals_2024</x:v>
      </x:c>
      <x:c r="T14" s="18" t="str">
        <x:v>constituent_drilldown</x:v>
      </x:c>
      <x:c r="U14" s="18" t="str">
        <x:v>BGS_MINERALS_2025</x:v>
      </x:c>
      <x:c r="V14" s="18" t="str">
        <x:v>British Geological Survey — MineralsUK</x:v>
      </x:c>
      <x:c r="W14" s="18" t="str">
        <x:v>https://www.bgs.ac.uk/mineralsuk/statistics/uk/</x:v>
      </x:c>
      <x:c r="X14" s="18" t="str">
        <x:v>2024 marine-dredged sand &amp; gravel 16.955 Mt</x:v>
      </x:c>
      <x:c r="Y14" s="18" t="str"/>
      <x:c r="Z14" s="18" t="str"/>
      <x:c r="AA14" s="18" t="str">
        <x:v>high</x:v>
      </x:c>
      <x:c r="AB14" s="18" t="str">
        <x:v>2026-07-24</x:v>
      </x:c>
      <x:c r="AC14" s="18" t="str"/>
      <x:c r="AD14" s="18" t="str"/>
      <x:c r="AE14" s="20" t="str"/>
      <x:c r="AF14" s="18" t="str"/>
      <x:c r="AG14" s="18" t="str">
        <x:v>Marine-dredged sand &amp; gravel</x:v>
      </x:c>
      <x:c r="AH14" s="18" t="str">
        <x:v>The reported mass of sand and gravel dredged from the UK Continental Shelf.</x:v>
      </x:c>
      <x:c r="AI14" s="18" t="str">
        <x:v>Mineral extraction can alter landforms, habitats, water conditions and local air quality; the cited source reports quantity rather than a site-specific ecological assessment.</x:v>
      </x:c>
      <x:c r="AJ14" s="18" t="str">
        <x:v>Not applicable</x:v>
      </x:c>
      <x:c r="AK14" s="18" t="str">
        <x:v>16.955 Mt marine aggregate | Dredged material | 2024</x:v>
      </x:c>
      <x:c r="AL14" s="18" t="str">
        <x:v>British Geological Survey — MineralsUK (data: 2024)</x:v>
      </x:c>
    </x:row>
    <x:row r="15">
      <x:c r="A15" s="18" t="str">
        <x:v>UK-MIN-004</x:v>
      </x:c>
      <x:c r="B15" s="18" t="str">
        <x:v>Virgin Resources</x:v>
      </x:c>
      <x:c r="C15" s="18" t="str">
        <x:v>Extraction</x:v>
      </x:c>
      <x:c r="D15" s="18" t="str"/>
      <x:c r="E15" s="18" t="str"/>
      <x:c r="F15" s="18" t="str">
        <x:v>Industrial minerals</x:v>
      </x:c>
      <x:c r="G15" s="18" t="str">
        <x:v>Material</x:v>
      </x:c>
      <x:c r="H15" s="20" t="n">
        <x:v>8.4</x:v>
      </x:c>
      <x:c r="I15" s="18" t="str">
        <x:v>Mt</x:v>
      </x:c>
      <x:c r="J15" s="18" t="str">
        <x:v>2024</x:v>
      </x:c>
      <x:c r="K15" s="18" t="str">
        <x:v>UK landmass</x:v>
      </x:c>
      <x:c r="L15" s="18" t="str">
        <x:v>source_supported</x:v>
      </x:c>
      <x:c r="M15" s="18" t="str">
        <x:v>true</x:v>
      </x:c>
      <x:c r="N15" s="18" t="str">
        <x:v>false</x:v>
      </x:c>
      <x:c r="O15" s="18" t="str">
        <x:v>drilldown</x:v>
      </x:c>
      <x:c r="P15" s="18" t="str">
        <x:v>minerals_drilldown</x:v>
      </x:c>
      <x:c r="Q15" s="18" t="str">
        <x:v>Industrial Minerals</x:v>
      </x:c>
      <x:c r="R15" s="18" t="str"/>
      <x:c r="S15" s="18" t="str">
        <x:v>bgs_minerals_2024</x:v>
      </x:c>
      <x:c r="T15" s="18" t="str">
        <x:v>constituent_drilldown</x:v>
      </x:c>
      <x:c r="U15" s="18" t="str">
        <x:v>BGS_MINERALS_2025</x:v>
      </x:c>
      <x:c r="V15" s="18" t="str">
        <x:v>British Geological Survey — MineralsUK</x:v>
      </x:c>
      <x:c r="W15" s="18" t="str">
        <x:v>https://www.bgs.ac.uk/mineralsuk/statistics/uk/</x:v>
      </x:c>
      <x:c r="X15" s="18" t="str">
        <x:v>2024 industrial minerals excluding crushed-rock industrial uses 8.4 Mt</x:v>
      </x:c>
      <x:c r="Y15" s="18" t="str"/>
      <x:c r="Z15" s="18" t="str"/>
      <x:c r="AA15" s="18" t="str">
        <x:v>high</x:v>
      </x:c>
      <x:c r="AB15" s="18" t="str">
        <x:v>2026-07-24</x:v>
      </x:c>
      <x:c r="AC15" s="18" t="str"/>
      <x:c r="AD15" s="18" t="str"/>
      <x:c r="AE15" s="20" t="str"/>
      <x:c r="AF15" s="18" t="str"/>
      <x:c r="AG15" s="18" t="str">
        <x:v>Industrial minerals</x:v>
      </x:c>
      <x:c r="AH15" s="18" t="str">
        <x:v>The reported mass of industrial minerals extracted in the UK, excluding crushed-rock industrial uses.</x:v>
      </x:c>
      <x:c r="AI15" s="18" t="str">
        <x:v>Mineral extraction can alter landforms, habitats, water conditions and local air quality; the cited source reports quantity rather than a site-specific ecological assessment.</x:v>
      </x:c>
      <x:c r="AJ15" s="18" t="str">
        <x:v>Not applicable</x:v>
      </x:c>
      <x:c r="AK15" s="18" t="str">
        <x:v>8.4 Mt industrial minerals | UK extraction | 2024</x:v>
      </x:c>
      <x:c r="AL15" s="18" t="str">
        <x:v>British Geological Survey — MineralsUK (data: 2024)</x:v>
      </x:c>
    </x:row>
    <x:row r="16">
      <x:c r="A16" s="18" t="str">
        <x:v>UK-CEM-001</x:v>
      </x:c>
      <x:c r="B16" s="18" t="str">
        <x:v>Virgin Resources</x:v>
      </x:c>
      <x:c r="C16" s="18" t="str">
        <x:v>Extraction</x:v>
      </x:c>
      <x:c r="D16" s="18" t="str"/>
      <x:c r="E16" s="18" t="str"/>
      <x:c r="F16" s="18" t="str">
        <x:v>Limestone-equivalent input for cement</x:v>
      </x:c>
      <x:c r="G16" s="18" t="str">
        <x:v>Material</x:v>
      </x:c>
      <x:c r="H16" s="20" t="str"/>
      <x:c r="I16" s="18" t="str">
        <x:v>Mt</x:v>
      </x:c>
      <x:c r="J16" s="18" t="str">
        <x:v>2024</x:v>
      </x:c>
      <x:c r="K16" s="18" t="str">
        <x:v>Great Britain / upstream equivalent</x:v>
      </x:c>
      <x:c r="L16" s="18" t="str">
        <x:v>designer_estimate_mit_scaled</x:v>
      </x:c>
      <x:c r="M16" s="18" t="str">
        <x:v>true</x:v>
      </x:c>
      <x:c r="N16" s="18" t="str">
        <x:v>false</x:v>
      </x:c>
      <x:c r="O16" s="18" t="str">
        <x:v>secondary</x:v>
      </x:c>
      <x:c r="P16" s="18" t="str">
        <x:v>cement</x:v>
      </x:c>
      <x:c r="Q16" s="18" t="str">
        <x:v>Cement / Mineral Products</x:v>
      </x:c>
      <x:c r="R16" s="18" t="str"/>
      <x:c r="S16" s="18" t="str">
        <x:v>gb_cement_2024</x:v>
      </x:c>
      <x:c r="T16" s="18" t="str">
        <x:v>estimated_upstream_input</x:v>
      </x:c>
      <x:c r="U16" s="18" t="str">
        <x:v>DBT_CEMENT_2026+MIT_GLOBAL</x:v>
      </x:c>
      <x:c r="V16" s="18" t="str">
        <x:v>DBT building materials statistics + MIT global Sankey ratio</x:v>
      </x:c>
      <x:c r="W16" s="18" t="str">
        <x:v>https://www.gov.uk/government/statistics/building-materials-and-components-statistics-march-2026/construction-building-materials-commentary-march-2026</x:v>
      </x:c>
      <x:c r="X16" s="18" t="str">
        <x:v>GB cement production 7.3 Mt in 2024</x:v>
      </x:c>
      <x:c r="Y16" s="18" t="str">
        <x:v>Estimate = 7.3 Mt GB cement production × (MIT global limestone input 4,900 / cement+mortar output 4,100) = 8.724 Mt limestone-equivalent. Not a reported UK limestone consumption figure.</x:v>
      </x:c>
      <x:c r="Z16" s="18" t="str">
        <x:v>Explicit designer estimate to populate an upstream relationship.</x:v>
      </x:c>
      <x:c r="AA16" s="18" t="str">
        <x:v>low-medium</x:v>
      </x:c>
      <x:c r="AB16" s="18" t="str">
        <x:v>2026-07-24</x:v>
      </x:c>
      <x:c r="AC16" s="18" t="str"/>
      <x:c r="AD16" s="18" t="str"/>
      <x:c r="AE16" s="20" t="n">
        <x:v>8.724</x:v>
      </x:c>
      <x:c r="AF16" s="18" t="str">
        <x:v>https://www.gov.uk/government/statistics/building-materials-and-components-statistics-march-2026/construction-building-materials-commentary-march-2026 | MIT test dataset: limestone 4900 Mt → cement/mortar 4100 Mt</x:v>
      </x:c>
      <x:c r="AG16" s="18" t="str">
        <x:v>Limestone-equivalent input for cement</x:v>
      </x:c>
      <x:c r="AH16" s="18" t="str">
        <x:v>An estimated limestone-equivalent input associated with Great Britain cement production, scaled from a global limestone-to-cement relationship.</x:v>
      </x:c>
      <x:c r="AI16" s="18" t="str">
        <x:v>Cement and limestone supply are associated with quarrying, fuel use and process emissions; reuse of existing structures and lower-clinker systems can reduce demand, but this flow does not measure those benefits.</x:v>
      </x:c>
      <x:c r="AJ16" s="18" t="str">
        <x:v>Not applicable</x:v>
      </x:c>
      <x:c r="AK16" s="18" t="str">
        <x:v>8.724 Mt limestone-equivalent | Estimate for cement input | 2024</x:v>
      </x:c>
      <x:c r="AL16" s="18" t="str">
        <x:v>DBT building materials statistics + MIT global Sankey ratio (data: 2024)</x:v>
      </x:c>
    </x:row>
    <x:row r="17">
      <x:c r="A17" s="18" t="str">
        <x:v>UK-CEM-002</x:v>
      </x:c>
      <x:c r="B17" s="18" t="str">
        <x:v>Material Processing</x:v>
      </x:c>
      <x:c r="C17" s="18" t="str">
        <x:v>Fabrication / Manufacture</x:v>
      </x:c>
      <x:c r="D17" s="18" t="str"/>
      <x:c r="E17" s="18" t="str"/>
      <x:c r="F17" s="18" t="str">
        <x:v>Cement produced</x:v>
      </x:c>
      <x:c r="G17" s="18" t="str">
        <x:v>Material</x:v>
      </x:c>
      <x:c r="H17" s="20" t="n">
        <x:v>7.3</x:v>
      </x:c>
      <x:c r="I17" s="18" t="str">
        <x:v>Mt</x:v>
      </x:c>
      <x:c r="J17" s="18" t="str">
        <x:v>2024</x:v>
      </x:c>
      <x:c r="K17" s="18" t="str">
        <x:v>Great Britain</x:v>
      </x:c>
      <x:c r="L17" s="18" t="str">
        <x:v>source_supported</x:v>
      </x:c>
      <x:c r="M17" s="18" t="str">
        <x:v>true</x:v>
      </x:c>
      <x:c r="N17" s="18" t="str">
        <x:v>false</x:v>
      </x:c>
      <x:c r="O17" s="18" t="str">
        <x:v>secondary</x:v>
      </x:c>
      <x:c r="P17" s="18" t="str">
        <x:v>cement</x:v>
      </x:c>
      <x:c r="Q17" s="18" t="str">
        <x:v>Cement</x:v>
      </x:c>
      <x:c r="R17" s="18" t="str"/>
      <x:c r="S17" s="18" t="str">
        <x:v>gb_cement_2024</x:v>
      </x:c>
      <x:c r="T17" s="18" t="str">
        <x:v>selected_evidence_stream</x:v>
      </x:c>
      <x:c r="U17" s="18" t="str">
        <x:v>DBT_CEMENT_2026</x:v>
      </x:c>
      <x:c r="V17" s="18" t="str">
        <x:v>Department for Business and Trade — Building Materials Statistics</x:v>
      </x:c>
      <x:c r="W17" s="18" t="str">
        <x:v>https://www.gov.uk/government/statistics/building-materials-and-components-statistics-march-2026/construction-building-materials-commentary-march-2026</x:v>
      </x:c>
      <x:c r="X17" s="18" t="str">
        <x:v>2024 cement production 7.3 Mt</x:v>
      </x:c>
      <x:c r="Y17" s="18" t="str"/>
      <x:c r="Z17" s="18" t="str"/>
      <x:c r="AA17" s="18" t="str">
        <x:v>high</x:v>
      </x:c>
      <x:c r="AB17" s="18" t="str">
        <x:v>2026-07-24</x:v>
      </x:c>
      <x:c r="AC17" s="18" t="str"/>
      <x:c r="AD17" s="18" t="str"/>
      <x:c r="AE17" s="20" t="str"/>
      <x:c r="AF17" s="18" t="str"/>
      <x:c r="AG17" s="18" t="str">
        <x:v>Cement produced</x:v>
      </x:c>
      <x:c r="AH17" s="18" t="str">
        <x:v>The reported mass of cement produced in Great Britain.</x:v>
      </x:c>
      <x:c r="AI17" s="18" t="str">
        <x:v>Cement and limestone supply are associated with quarrying, fuel use and process emissions; reuse of existing structures and lower-clinker systems can reduce demand, but this flow does not measure those benefits.</x:v>
      </x:c>
      <x:c r="AJ17" s="18" t="str">
        <x:v>Not applicable</x:v>
      </x:c>
      <x:c r="AK17" s="18" t="str">
        <x:v>7.3 Mt cement produced | Great Britain, 2024</x:v>
      </x:c>
      <x:c r="AL17" s="18" t="str">
        <x:v>Department for Business and Trade — Building Materials Statistics (data: 2024)</x:v>
      </x:c>
    </x:row>
    <x:row r="18">
      <x:c r="A18" s="18" t="str">
        <x:v>UK-CEM-003</x:v>
      </x:c>
      <x:c r="B18" s="18" t="str">
        <x:v>Fabrication / Manufacture</x:v>
      </x:c>
      <x:c r="C18" s="18" t="str">
        <x:v>Use / Consumption</x:v>
      </x:c>
      <x:c r="D18" s="18" t="str"/>
      <x:c r="E18" s="18" t="str"/>
      <x:c r="F18" s="18" t="str">
        <x:v>Cement sold from UK production</x:v>
      </x:c>
      <x:c r="G18" s="18" t="str">
        <x:v>Material</x:v>
      </x:c>
      <x:c r="H18" s="20" t="n">
        <x:v>7.1</x:v>
      </x:c>
      <x:c r="I18" s="18" t="str">
        <x:v>Mt</x:v>
      </x:c>
      <x:c r="J18" s="18" t="str">
        <x:v>2024</x:v>
      </x:c>
      <x:c r="K18" s="18" t="str">
        <x:v>UK</x:v>
      </x:c>
      <x:c r="L18" s="18" t="str">
        <x:v>source_supported</x:v>
      </x:c>
      <x:c r="M18" s="18" t="str">
        <x:v>true</x:v>
      </x:c>
      <x:c r="N18" s="18" t="str">
        <x:v>false</x:v>
      </x:c>
      <x:c r="O18" s="18" t="str">
        <x:v>secondary</x:v>
      </x:c>
      <x:c r="P18" s="18" t="str">
        <x:v>cement</x:v>
      </x:c>
      <x:c r="Q18" s="18" t="str">
        <x:v>Built Structures</x:v>
      </x:c>
      <x:c r="R18" s="18" t="str"/>
      <x:c r="S18" s="18" t="str">
        <x:v>uk_cement_sales_2024</x:v>
      </x:c>
      <x:c r="T18" s="18" t="str">
        <x:v>selected_evidence_stream</x:v>
      </x:c>
      <x:c r="U18" s="18" t="str">
        <x:v>MPA_PROFILE_2025</x:v>
      </x:c>
      <x:c r="V18" s="18" t="str">
        <x:v>Mineral Products Association — Profile 2025</x:v>
      </x:c>
      <x:c r="W18" s="18" t="str">
        <x:v>https://mineralproducts.org/MPA/media/root/Publications/2025/Profile_of_the_UK_Mineral_Products_Industry_2025.pdf</x:v>
      </x:c>
      <x:c r="X18" s="18" t="str">
        <x:v>2024 cement sales from UK production 7.1 Mt</x:v>
      </x:c>
      <x:c r="Y18" s="18" t="str">
        <x:v>Sales from UK production; imports are additional and are not included in this ribbon.</x:v>
      </x:c>
      <x:c r="Z18" s="18" t="str"/>
      <x:c r="AA18" s="18" t="str">
        <x:v>high</x:v>
      </x:c>
      <x:c r="AB18" s="18" t="str">
        <x:v>2026-07-24</x:v>
      </x:c>
      <x:c r="AC18" s="18" t="str"/>
      <x:c r="AD18" s="18" t="str"/>
      <x:c r="AE18" s="20" t="str"/>
      <x:c r="AF18" s="18" t="str"/>
      <x:c r="AG18" s="18" t="str">
        <x:v>Cement sold from UK production</x:v>
      </x:c>
      <x:c r="AH18" s="18" t="str">
        <x:v>The reported mass of cement sold from UK production into construction use.</x:v>
      </x:c>
      <x:c r="AI18" s="18" t="str">
        <x:v>Cement and limestone supply are associated with quarrying, fuel use and process emissions; reuse of existing structures and lower-clinker systems can reduce demand, but this flow does not measure those benefits.</x:v>
      </x:c>
      <x:c r="AJ18" s="18" t="str">
        <x:v>Not applicable</x:v>
      </x:c>
      <x:c r="AK18" s="18" t="str">
        <x:v>7.1 Mt UK-produced cement sold | UK, 2024</x:v>
      </x:c>
      <x:c r="AL18" s="18" t="str">
        <x:v>Mineral Products Association — Profile 2025 (data: 2024)</x:v>
      </x:c>
    </x:row>
    <x:row r="19">
      <x:c r="A19" s="18" t="str">
        <x:v>UK-CEM-004</x:v>
      </x:c>
      <x:c r="B19" s="18" t="str">
        <x:v>Fabrication / Manufacture</x:v>
      </x:c>
      <x:c r="C19" s="18" t="str">
        <x:v>Use / Consumption</x:v>
      </x:c>
      <x:c r="D19" s="18" t="str"/>
      <x:c r="E19" s="18" t="str"/>
      <x:c r="F19" s="18" t="str">
        <x:v>Cement to ready-mixed concrete</x:v>
      </x:c>
      <x:c r="G19" s="18" t="str">
        <x:v>Material</x:v>
      </x:c>
      <x:c r="H19" s="20" t="str"/>
      <x:c r="I19" s="18" t="str">
        <x:v>Mt</x:v>
      </x:c>
      <x:c r="J19" s="18" t="str">
        <x:v>2024</x:v>
      </x:c>
      <x:c r="K19" s="18" t="str">
        <x:v>UK</x:v>
      </x:c>
      <x:c r="L19" s="18" t="str">
        <x:v>derived_from_source_supported</x:v>
      </x:c>
      <x:c r="M19" s="18" t="str">
        <x:v>true</x:v>
      </x:c>
      <x:c r="N19" s="18" t="str">
        <x:v>false</x:v>
      </x:c>
      <x:c r="O19" s="18" t="str">
        <x:v>drilldown</x:v>
      </x:c>
      <x:c r="P19" s="18" t="str">
        <x:v>cement_channels</x:v>
      </x:c>
      <x:c r="Q19" s="18" t="str">
        <x:v>Ready-mixed Concrete</x:v>
      </x:c>
      <x:c r="R19" s="18" t="str"/>
      <x:c r="S19" s="18" t="str">
        <x:v>uk_cement_sales_2024</x:v>
      </x:c>
      <x:c r="T19" s="18" t="str">
        <x:v>constituent_drilldown</x:v>
      </x:c>
      <x:c r="U19" s="18" t="str">
        <x:v>MPA_PROFILE_2025</x:v>
      </x:c>
      <x:c r="V19" s="18" t="str">
        <x:v>Mineral Products Association — Profile 2025</x:v>
      </x:c>
      <x:c r="W19" s="18" t="str">
        <x:v>https://mineralproducts.org/MPA/media/root/Publications/2025/Profile_of_the_UK_Mineral_Products_Industry_2025.pdf</x:v>
      </x:c>
      <x:c r="X19" s="18" t="str"/>
      <x:c r="Y19" s="18" t="str">
        <x:v>58% of 7.1 Mt UK-produced cement sales = 4.118 Mt.</x:v>
      </x:c>
      <x:c r="Z19" s="18" t="str"/>
      <x:c r="AA19" s="18" t="str">
        <x:v>high</x:v>
      </x:c>
      <x:c r="AB19" s="18" t="str">
        <x:v>2026-07-24</x:v>
      </x:c>
      <x:c r="AC19" s="18" t="str"/>
      <x:c r="AD19" s="18" t="str"/>
      <x:c r="AE19" s="20" t="n">
        <x:v>4.118</x:v>
      </x:c>
      <x:c r="AF19" s="18" t="str">
        <x:v>https://mineralproducts.org/MPA/media/root/Publications/2025/Profile_of_the_UK_Mineral_Products_Industry_2025.pdf</x:v>
      </x:c>
      <x:c r="AG19" s="18" t="str">
        <x:v>Cement to ready-mixed concrete</x:v>
      </x:c>
      <x:c r="AH19" s="18" t="str">
        <x:v>A derived allocation of UK-produced cement sales entering ready-mixed concrete.</x:v>
      </x:c>
      <x:c r="AI19" s="18" t="str">
        <x:v>Cement use carries quarrying and process-emissions burdens into concrete production. Efficient structural design, lower-clinker binders and long service life can reduce demand, but this allocation does not measure those outcomes.</x:v>
      </x:c>
      <x:c r="AJ19" s="18" t="str">
        <x:v>Not applicable</x:v>
      </x:c>
      <x:c r="AK19" s="18" t="str">
        <x:v>4.118 Mt cement | Ready-mixed concrete allocation | UK, 2024</x:v>
      </x:c>
      <x:c r="AL19" s="18" t="str">
        <x:v>Mineral Products Association — Profile 2025 (data: 2024)</x:v>
      </x:c>
    </x:row>
    <x:row r="20">
      <x:c r="A20" s="18" t="str">
        <x:v>UK-CEM-005</x:v>
      </x:c>
      <x:c r="B20" s="18" t="str">
        <x:v>Fabrication / Manufacture</x:v>
      </x:c>
      <x:c r="C20" s="18" t="str">
        <x:v>Use / Consumption</x:v>
      </x:c>
      <x:c r="D20" s="18" t="str"/>
      <x:c r="E20" s="18" t="str"/>
      <x:c r="F20" s="18" t="str">
        <x:v>Cement to precast &amp; mortar</x:v>
      </x:c>
      <x:c r="G20" s="18" t="str">
        <x:v>Material</x:v>
      </x:c>
      <x:c r="H20" s="20" t="str"/>
      <x:c r="I20" s="18" t="str">
        <x:v>Mt</x:v>
      </x:c>
      <x:c r="J20" s="18" t="str">
        <x:v>2024</x:v>
      </x:c>
      <x:c r="K20" s="18" t="str">
        <x:v>UK</x:v>
      </x:c>
      <x:c r="L20" s="18" t="str">
        <x:v>derived_from_source_supported</x:v>
      </x:c>
      <x:c r="M20" s="18" t="str">
        <x:v>true</x:v>
      </x:c>
      <x:c r="N20" s="18" t="str">
        <x:v>false</x:v>
      </x:c>
      <x:c r="O20" s="18" t="str">
        <x:v>drilldown</x:v>
      </x:c>
      <x:c r="P20" s="18" t="str">
        <x:v>cement_channels</x:v>
      </x:c>
      <x:c r="Q20" s="18" t="str">
        <x:v>Precast / Mortar</x:v>
      </x:c>
      <x:c r="R20" s="18" t="str"/>
      <x:c r="S20" s="18" t="str">
        <x:v>uk_cement_sales_2024</x:v>
      </x:c>
      <x:c r="T20" s="18" t="str">
        <x:v>constituent_drilldown</x:v>
      </x:c>
      <x:c r="U20" s="18" t="str">
        <x:v>MPA_PROFILE_2025</x:v>
      </x:c>
      <x:c r="V20" s="18" t="str">
        <x:v>Mineral Products Association — Profile 2025</x:v>
      </x:c>
      <x:c r="W20" s="18" t="str">
        <x:v>https://mineralproducts.org/MPA/media/root/Publications/2025/Profile_of_the_UK_Mineral_Products_Industry_2025.pdf</x:v>
      </x:c>
      <x:c r="X20" s="18" t="str"/>
      <x:c r="Y20" s="18" t="str">
        <x:v>24% of 7.1 Mt = 1.704 Mt.</x:v>
      </x:c>
      <x:c r="Z20" s="18" t="str"/>
      <x:c r="AA20" s="18" t="str">
        <x:v>high</x:v>
      </x:c>
      <x:c r="AB20" s="18" t="str">
        <x:v>2026-07-24</x:v>
      </x:c>
      <x:c r="AC20" s="18" t="str"/>
      <x:c r="AD20" s="18" t="str"/>
      <x:c r="AE20" s="20" t="n">
        <x:v>1.704</x:v>
      </x:c>
      <x:c r="AF20" s="18" t="str">
        <x:v>https://mineralproducts.org/MPA/media/root/Publications/2025/Profile_of_the_UK_Mineral_Products_Industry_2025.pdf</x:v>
      </x:c>
      <x:c r="AG20" s="18" t="str">
        <x:v>Cement to precast &amp; mortar</x:v>
      </x:c>
      <x:c r="AH20" s="18" t="str">
        <x:v>A derived allocation of UK-produced cement sales entering precast products and mortar.</x:v>
      </x:c>
      <x:c r="AI20" s="18" t="str">
        <x:v>Cement used in precast products and mortar carries quarrying, heat and process-emissions impacts. Factory control may reduce waste, but the ecological outcome depends on binder content, lifespan and end-of-use recovery.</x:v>
      </x:c>
      <x:c r="AJ20" s="18" t="str">
        <x:v>Not applicable</x:v>
      </x:c>
      <x:c r="AK20" s="18" t="str">
        <x:v>1.704 Mt cement | Precast and mortar allocation | UK, 2024</x:v>
      </x:c>
      <x:c r="AL20" s="18" t="str">
        <x:v>Mineral Products Association — Profile 2025 (data: 2024)</x:v>
      </x:c>
    </x:row>
    <x:row r="21">
      <x:c r="A21" s="18" t="str">
        <x:v>UK-MINPROD-001</x:v>
      </x:c>
      <x:c r="B21" s="18" t="str">
        <x:v>Material Processing</x:v>
      </x:c>
      <x:c r="C21" s="18" t="str">
        <x:v>Fabrication / Manufacture</x:v>
      </x:c>
      <x:c r="D21" s="18" t="str"/>
      <x:c r="E21" s="18" t="str"/>
      <x:c r="F21" s="18" t="str">
        <x:v>Asphalt produced</x:v>
      </x:c>
      <x:c r="G21" s="18" t="str">
        <x:v>Material</x:v>
      </x:c>
      <x:c r="H21" s="20" t="n">
        <x:v>23.5</x:v>
      </x:c>
      <x:c r="I21" s="18" t="str">
        <x:v>Mt</x:v>
      </x:c>
      <x:c r="J21" s="18" t="str">
        <x:v>2024</x:v>
      </x:c>
      <x:c r="K21" s="18" t="str">
        <x:v>UK</x:v>
      </x:c>
      <x:c r="L21" s="18" t="str">
        <x:v>source_supported</x:v>
      </x:c>
      <x:c r="M21" s="18" t="str">
        <x:v>true</x:v>
      </x:c>
      <x:c r="N21" s="18" t="str">
        <x:v>false</x:v>
      </x:c>
      <x:c r="O21" s="18" t="str">
        <x:v>drilldown</x:v>
      </x:c>
      <x:c r="P21" s="18" t="str">
        <x:v>mineral_products</x:v>
      </x:c>
      <x:c r="Q21" s="18" t="str">
        <x:v>Asphalt</x:v>
      </x:c>
      <x:c r="R21" s="18" t="str"/>
      <x:c r="S21" s="18" t="str">
        <x:v>uk_asphalt_2024</x:v>
      </x:c>
      <x:c r="T21" s="18" t="str">
        <x:v>selected_evidence_stream</x:v>
      </x:c>
      <x:c r="U21" s="18" t="str">
        <x:v>MPA_PROFILE_2025</x:v>
      </x:c>
      <x:c r="V21" s="18" t="str">
        <x:v>Mineral Products Association — Profile 2025</x:v>
      </x:c>
      <x:c r="W21" s="18" t="str">
        <x:v>https://mineralproducts.org/MPA/media/root/Publications/2025/Profile_of_the_UK_Mineral_Products_Industry_2025.pdf</x:v>
      </x:c>
      <x:c r="X21" s="18" t="str">
        <x:v>Estimated UK asphalt production 23.5 Mt in 2024</x:v>
      </x:c>
      <x:c r="Y21" s="18" t="str"/>
      <x:c r="Z21" s="18" t="str"/>
      <x:c r="AA21" s="18" t="str">
        <x:v>high</x:v>
      </x:c>
      <x:c r="AB21" s="18" t="str">
        <x:v>2026-07-24</x:v>
      </x:c>
      <x:c r="AC21" s="18" t="str"/>
      <x:c r="AD21" s="18" t="str"/>
      <x:c r="AE21" s="20" t="str"/>
      <x:c r="AF21" s="18" t="str"/>
      <x:c r="AG21" s="18" t="str">
        <x:v>Asphalt produced</x:v>
      </x:c>
      <x:c r="AH21" s="18" t="str">
        <x:v>The reported estimated mass of asphalt produced in the UK.</x:v>
      </x:c>
      <x:c r="AI21" s="18" t="str">
        <x:v>Production relies on mineral extraction, heat and transport. Ecological effects vary by feedstock, energy source, site and the service life of the finished product.</x:v>
      </x:c>
      <x:c r="AJ21" s="18" t="str">
        <x:v>Not applicable</x:v>
      </x:c>
      <x:c r="AK21" s="18" t="str">
        <x:v>23.5 Mt asphalt | UK production | 2024</x:v>
      </x:c>
      <x:c r="AL21" s="18" t="str">
        <x:v>Mineral Products Association — Profile 2025 (data: 2024)</x:v>
      </x:c>
    </x:row>
    <x:row r="22">
      <x:c r="A22" s="18" t="str">
        <x:v>UK-MINPROD-002</x:v>
      </x:c>
      <x:c r="B22" s="18" t="str">
        <x:v>Fabrication / Manufacture</x:v>
      </x:c>
      <x:c r="C22" s="18" t="str">
        <x:v>Use / Consumption</x:v>
      </x:c>
      <x:c r="D22" s="18" t="str"/>
      <x:c r="E22" s="18" t="str"/>
      <x:c r="F22" s="18" t="str">
        <x:v>Ready-mixed concrete produced</x:v>
      </x:c>
      <x:c r="G22" s="18" t="str">
        <x:v>MaterialVolume</x:v>
      </x:c>
      <x:c r="H22" s="20" t="n">
        <x:v>21.9</x:v>
      </x:c>
      <x:c r="I22" s="18" t="str">
        <x:v>million m3</x:v>
      </x:c>
      <x:c r="J22" s="18" t="str">
        <x:v>2024</x:v>
      </x:c>
      <x:c r="K22" s="18" t="str">
        <x:v>UK</x:v>
      </x:c>
      <x:c r="L22" s="18" t="str">
        <x:v>source_supported</x:v>
      </x:c>
      <x:c r="M22" s="18" t="str">
        <x:v>true</x:v>
      </x:c>
      <x:c r="N22" s="18" t="str">
        <x:v>false</x:v>
      </x:c>
      <x:c r="O22" s="18" t="str">
        <x:v>drilldown</x:v>
      </x:c>
      <x:c r="P22" s="18" t="str">
        <x:v>mineral_products_volume</x:v>
      </x:c>
      <x:c r="Q22" s="18" t="str">
        <x:v>Ready-mixed Concrete</x:v>
      </x:c>
      <x:c r="R22" s="18" t="str"/>
      <x:c r="S22" s="18" t="str">
        <x:v>uk_ready_mix_2024</x:v>
      </x:c>
      <x:c r="T22" s="18" t="str">
        <x:v>separate_unit_family</x:v>
      </x:c>
      <x:c r="U22" s="18" t="str">
        <x:v>MPA_PROFILE_2025</x:v>
      </x:c>
      <x:c r="V22" s="18" t="str">
        <x:v>Mineral Products Association — Profile 2025</x:v>
      </x:c>
      <x:c r="W22" s="18" t="str">
        <x:v>https://mineralproducts.org/MPA/media/root/Publications/2025/Profile_of_the_UK_Mineral_Products_Industry_2025.pdf</x:v>
      </x:c>
      <x:c r="X22" s="18" t="str">
        <x:v>Estimated UK ready-mixed concrete production 21.9 million m3 in 2024</x:v>
      </x:c>
      <x:c r="Y22" s="18" t="str">
        <x:v>Separate volume family; do not add to Mt-based ribbons.</x:v>
      </x:c>
      <x:c r="Z22" s="18" t="str"/>
      <x:c r="AA22" s="18" t="str">
        <x:v>high</x:v>
      </x:c>
      <x:c r="AB22" s="18" t="str">
        <x:v>2026-07-24</x:v>
      </x:c>
      <x:c r="AC22" s="18" t="str"/>
      <x:c r="AD22" s="18" t="str"/>
      <x:c r="AE22" s="20" t="str"/>
      <x:c r="AF22" s="18" t="str"/>
      <x:c r="AG22" s="18" t="str">
        <x:v>Ready-mixed concrete produced</x:v>
      </x:c>
      <x:c r="AH22" s="18" t="str">
        <x:v>The reported volume of ready-mixed concrete produced in the UK.</x:v>
      </x:c>
      <x:c r="AI22" s="18" t="str">
        <x:v>Concrete production combines mineral extraction, cement-related emissions, water use and transport; the volume figure does not itself describe ecological performance.</x:v>
      </x:c>
      <x:c r="AJ22" s="18" t="str">
        <x:v>Not applicable</x:v>
      </x:c>
      <x:c r="AK22" s="18" t="str">
        <x:v>21.9 million m³ ready-mixed concrete | UK, 2024</x:v>
      </x:c>
      <x:c r="AL22" s="18" t="str">
        <x:v>Mineral Products Association — Profile 2025 (data: 2024)</x:v>
      </x:c>
    </x:row>
    <x:row r="23">
      <x:c r="A23" s="18" t="str">
        <x:v>UK-BRICK-001</x:v>
      </x:c>
      <x:c r="B23" s="18" t="str">
        <x:v>Fabrication / Manufacture</x:v>
      </x:c>
      <x:c r="C23" s="18" t="str">
        <x:v>Use / Consumption</x:v>
      </x:c>
      <x:c r="D23" s="18" t="str"/>
      <x:c r="E23" s="18" t="str"/>
      <x:c r="F23" s="18" t="str">
        <x:v>Clay bricks produced</x:v>
      </x:c>
      <x:c r="G23" s="18" t="str">
        <x:v>ProductCount</x:v>
      </x:c>
      <x:c r="H23" s="20" t="n">
        <x:v>1.331</x:v>
      </x:c>
      <x:c r="I23" s="18" t="str">
        <x:v>billion bricks</x:v>
      </x:c>
      <x:c r="J23" s="18" t="str">
        <x:v>2024</x:v>
      </x:c>
      <x:c r="K23" s="18" t="str">
        <x:v>Great Britain</x:v>
      </x:c>
      <x:c r="L23" s="18" t="str">
        <x:v>source_supported</x:v>
      </x:c>
      <x:c r="M23" s="18" t="str">
        <x:v>true</x:v>
      </x:c>
      <x:c r="N23" s="18" t="str">
        <x:v>false</x:v>
      </x:c>
      <x:c r="O23" s="18" t="str">
        <x:v>drilldown</x:v>
      </x:c>
      <x:c r="P23" s="18" t="str">
        <x:v>bricks</x:v>
      </x:c>
      <x:c r="Q23" s="18" t="str">
        <x:v>Bricks</x:v>
      </x:c>
      <x:c r="R23" s="18" t="str"/>
      <x:c r="S23" s="18" t="str">
        <x:v>gb_bricks_2024</x:v>
      </x:c>
      <x:c r="T23" s="18" t="str">
        <x:v>separate_unit_family</x:v>
      </x:c>
      <x:c r="U23" s="18" t="str">
        <x:v>DBT_BUILDING_MATERIALS_2026</x:v>
      </x:c>
      <x:c r="V23" s="18" t="str">
        <x:v>DBT Building Materials Statistics</x:v>
      </x:c>
      <x:c r="W23" s="18" t="str">
        <x:v>https://www.gov.uk/government/statistics/building-materials-and-components-statistics-march-2026/construction-building-materials-commentary-march-2026</x:v>
      </x:c>
      <x:c r="X23" s="18" t="str">
        <x:v>2024 domestic brick production 1,331 million bricks</x:v>
      </x:c>
      <x:c r="Y23" s="18" t="str">
        <x:v>Count-based family; do not convert to tonnes unless a documented average mass method is added.</x:v>
      </x:c>
      <x:c r="Z23" s="18" t="str"/>
      <x:c r="AA23" s="18" t="str">
        <x:v>high</x:v>
      </x:c>
      <x:c r="AB23" s="18" t="str">
        <x:v>2026-07-24</x:v>
      </x:c>
      <x:c r="AC23" s="18" t="str"/>
      <x:c r="AD23" s="18" t="str"/>
      <x:c r="AE23" s="20" t="str"/>
      <x:c r="AF23" s="18" t="str"/>
      <x:c r="AG23" s="18" t="str">
        <x:v>Clay bricks produced</x:v>
      </x:c>
      <x:c r="AH23" s="18" t="str">
        <x:v>The reported number of clay bricks produced domestically in Great Britain.</x:v>
      </x:c>
      <x:c r="AI23" s="18" t="str">
        <x:v>Clay extraction and kiln firing can disturb land and consume substantial heat; long service life and direct reuse can reduce replacement demand.</x:v>
      </x:c>
      <x:c r="AJ23" s="18" t="str">
        <x:v>Not applicable</x:v>
      </x:c>
      <x:c r="AK23" s="18" t="str">
        <x:v>1.331 billion clay bricks | Great Britain, 2024</x:v>
      </x:c>
      <x:c r="AL23" s="18" t="str">
        <x:v>DBT Building Materials Statistics (data: 2024)</x:v>
      </x:c>
    </x:row>
    <x:row r="24">
      <x:c r="A24" s="18" t="str">
        <x:v>UK-STEEL-001</x:v>
      </x:c>
      <x:c r="B24" s="18" t="str">
        <x:v>Virgin Resources</x:v>
      </x:c>
      <x:c r="C24" s="18" t="str">
        <x:v>Extraction</x:v>
      </x:c>
      <x:c r="D24" s="18" t="str"/>
      <x:c r="E24" s="18" t="str"/>
      <x:c r="F24" s="18" t="str">
        <x:v>Iron ore-equivalent upstream input</x:v>
      </x:c>
      <x:c r="G24" s="18" t="str">
        <x:v>Material</x:v>
      </x:c>
      <x:c r="H24" s="20" t="str"/>
      <x:c r="I24" s="18" t="str">
        <x:v>Mt</x:v>
      </x:c>
      <x:c r="J24" s="18" t="str">
        <x:v>2024</x:v>
      </x:c>
      <x:c r="K24" s="18" t="str">
        <x:v>UK-attributable upstream estimate</x:v>
      </x:c>
      <x:c r="L24" s="18" t="str">
        <x:v>designer_estimate_mit_scaled</x:v>
      </x:c>
      <x:c r="M24" s="18" t="str">
        <x:v>true</x:v>
      </x:c>
      <x:c r="N24" s="18" t="str">
        <x:v>false</x:v>
      </x:c>
      <x:c r="O24" s="18" t="str">
        <x:v>primary</x:v>
      </x:c>
      <x:c r="P24" s="18" t="str">
        <x:v>steel</x:v>
      </x:c>
      <x:c r="Q24" s="18" t="str">
        <x:v>Steel</x:v>
      </x:c>
      <x:c r="R24" s="18" t="str"/>
      <x:c r="S24" s="18" t="str">
        <x:v>uk_steel_2024_estimate</x:v>
      </x:c>
      <x:c r="T24" s="18" t="str">
        <x:v>estimated_upstream_input</x:v>
      </x:c>
      <x:c r="U24" s="18" t="str">
        <x:v>WORLDSTEEL_UK+MIT_GLOBAL</x:v>
      </x:c>
      <x:c r="V24" s="18" t="str">
        <x:v>World Steel / UK steel evidence + MIT global Sankey relationship</x:v>
      </x:c>
      <x:c r="W24" s="18" t="str">
        <x:v>https://worldsteel.org/data/world-steel-in-figures/world-steel-in-figures-2026/</x:v>
      </x:c>
      <x:c r="X24" s="18" t="str"/>
      <x:c r="Y24" s="18" t="str">
        <x:v>Estimate = UK crude steel production 4.0 Mt × (MIT global iron ore 2500 / downstream steel 1875) = 5.333 Mt iron-ore equivalent. This is not reported UK ore consumption and includes upstream extraction outside the UK.</x:v>
      </x:c>
      <x:c r="Z24" s="18" t="str">
        <x:v>Used to make upstream material intensity visible. UK metal ore extraction itself is negligible relative to use.</x:v>
      </x:c>
      <x:c r="AA24" s="18" t="str">
        <x:v>low</x:v>
      </x:c>
      <x:c r="AB24" s="18" t="str">
        <x:v>2026-07-24</x:v>
      </x:c>
      <x:c r="AC24" s="18" t="str"/>
      <x:c r="AD24" s="18" t="str"/>
      <x:c r="AE24" s="20" t="n">
        <x:v>5.333</x:v>
      </x:c>
      <x:c r="AF24" s="18" t="str">
        <x:v>https://worldsteel.org/data/world-steel-in-figures/world-steel-in-figures-2026/ | MIT test dataset steel ratio</x:v>
      </x:c>
      <x:c r="AG24" s="18" t="str">
        <x:v>Iron ore-equivalent upstream input</x:v>
      </x:c>
      <x:c r="AH24" s="18" t="str">
        <x:v>An estimate of the upstream iron-ore requirement associated with UK crude-steel production.</x:v>
      </x:c>
      <x:c r="AI24" s="18" t="str">
        <x:v>Steel production can involve ore extraction, high-temperature energy use and greenhouse-gas emissions. Scrap use can reduce primary ore demand, but remelting still requires energy.</x:v>
      </x:c>
      <x:c r="AJ24" s="18" t="str">
        <x:v>Not applicable</x:v>
      </x:c>
      <x:c r="AK24" s="18" t="str">
        <x:v>5.333 Mt iron-ore equivalent | Global ratio scaled to UK steel | 2024</x:v>
      </x:c>
      <x:c r="AL24" s="18" t="str">
        <x:v>World Steel / UK steel evidence + MIT global Sankey relationship (data: 2024)</x:v>
      </x:c>
    </x:row>
    <x:row r="25">
      <x:c r="A25" s="18" t="str">
        <x:v>UK-STEEL-002</x:v>
      </x:c>
      <x:c r="B25" s="18" t="str">
        <x:v>Extraction</x:v>
      </x:c>
      <x:c r="C25" s="18" t="str">
        <x:v>Material Processing</x:v>
      </x:c>
      <x:c r="D25" s="18" t="str"/>
      <x:c r="E25" s="18" t="str"/>
      <x:c r="F25" s="18" t="str">
        <x:v>Iron ore-equivalent to steel processing</x:v>
      </x:c>
      <x:c r="G25" s="18" t="str">
        <x:v>Material</x:v>
      </x:c>
      <x:c r="H25" s="20" t="str"/>
      <x:c r="I25" s="18" t="str">
        <x:v>Mt</x:v>
      </x:c>
      <x:c r="J25" s="18" t="str">
        <x:v>2024</x:v>
      </x:c>
      <x:c r="K25" s="18" t="str">
        <x:v>UK-attributable upstream estimate</x:v>
      </x:c>
      <x:c r="L25" s="18" t="str">
        <x:v>designer_estimate_mit_scaled</x:v>
      </x:c>
      <x:c r="M25" s="18" t="str">
        <x:v>true</x:v>
      </x:c>
      <x:c r="N25" s="18" t="str">
        <x:v>false</x:v>
      </x:c>
      <x:c r="O25" s="18" t="str">
        <x:v>primary</x:v>
      </x:c>
      <x:c r="P25" s="18" t="str">
        <x:v>steel</x:v>
      </x:c>
      <x:c r="Q25" s="18" t="str">
        <x:v>Steel</x:v>
      </x:c>
      <x:c r="R25" s="18" t="str"/>
      <x:c r="S25" s="18" t="str">
        <x:v>uk_steel_2024_estimate</x:v>
      </x:c>
      <x:c r="T25" s="18" t="str">
        <x:v>estimated_stage_transfer</x:v>
      </x:c>
      <x:c r="U25" s="18" t="str">
        <x:v>WORLDSTEEL_UK+MIT_GLOBAL</x:v>
      </x:c>
      <x:c r="V25" s="18" t="str">
        <x:v>World Steel / UK steel evidence + MIT global Sankey relationship</x:v>
      </x:c>
      <x:c r="W25" s="18" t="str">
        <x:v>https://worldsteel.org/data/world-steel-in-figures/world-steel-in-figures-2026/</x:v>
      </x:c>
      <x:c r="X25" s="18" t="str"/>
      <x:c r="Y25" s="18" t="str">
        <x:v>Carries the same 5.333 Mt upstream equivalent into the processing stage; not a measured UK import flow.</x:v>
      </x:c>
      <x:c r="Z25" s="18" t="str"/>
      <x:c r="AA25" s="18" t="str">
        <x:v>low</x:v>
      </x:c>
      <x:c r="AB25" s="18" t="str">
        <x:v>2026-07-24</x:v>
      </x:c>
      <x:c r="AC25" s="18" t="str"/>
      <x:c r="AD25" s="18" t="str"/>
      <x:c r="AE25" s="20" t="n">
        <x:v>5.333</x:v>
      </x:c>
      <x:c r="AF25" s="18" t="str">
        <x:v>https://worldsteel.org/data/world-steel-in-figures/world-steel-in-figures-2026/ | MIT test dataset steel ratio</x:v>
      </x:c>
      <x:c r="AG25" s="18" t="str">
        <x:v>Iron ore-equivalent to steel processing</x:v>
      </x:c>
      <x:c r="AH25" s="18" t="str">
        <x:v>The same estimated iron-ore-equivalent quantity carried into the steel-processing stage; it is not a measured UK import flow.</x:v>
      </x:c>
      <x:c r="AI25" s="18" t="str">
        <x:v>Steel production can involve ore extraction, high-temperature energy use and greenhouse-gas emissions. Scrap use can reduce primary ore demand, but remelting still requires energy.</x:v>
      </x:c>
      <x:c r="AJ25" s="18" t="str">
        <x:v>Not applicable</x:v>
      </x:c>
      <x:c r="AK25" s="18" t="str">
        <x:v>5.333 Mt iron-ore equivalent | Estimated processing input | 2024</x:v>
      </x:c>
      <x:c r="AL25" s="18" t="str">
        <x:v>World Steel / UK steel evidence + MIT global Sankey relationship (data: 2024)</x:v>
      </x:c>
    </x:row>
    <x:row r="26">
      <x:c r="A26" s="18" t="str">
        <x:v>UK-STEEL-003</x:v>
      </x:c>
      <x:c r="B26" s="18" t="str">
        <x:v>Material Processing</x:v>
      </x:c>
      <x:c r="C26" s="18" t="str">
        <x:v>Fabrication / Manufacture</x:v>
      </x:c>
      <x:c r="D26" s="18" t="str"/>
      <x:c r="E26" s="18" t="str"/>
      <x:c r="F26" s="18" t="str">
        <x:v>Crude steel produced</x:v>
      </x:c>
      <x:c r="G26" s="18" t="str">
        <x:v>Material</x:v>
      </x:c>
      <x:c r="H26" s="20" t="n">
        <x:v>4</x:v>
      </x:c>
      <x:c r="I26" s="18" t="str">
        <x:v>Mt</x:v>
      </x:c>
      <x:c r="J26" s="18" t="str">
        <x:v>2024</x:v>
      </x:c>
      <x:c r="K26" s="18" t="str">
        <x:v>UK</x:v>
      </x:c>
      <x:c r="L26" s="18" t="str">
        <x:v>source_supported</x:v>
      </x:c>
      <x:c r="M26" s="18" t="str">
        <x:v>true</x:v>
      </x:c>
      <x:c r="N26" s="18" t="str">
        <x:v>false</x:v>
      </x:c>
      <x:c r="O26" s="18" t="str">
        <x:v>primary</x:v>
      </x:c>
      <x:c r="P26" s="18" t="str">
        <x:v>steel</x:v>
      </x:c>
      <x:c r="Q26" s="18" t="str">
        <x:v>Steel</x:v>
      </x:c>
      <x:c r="R26" s="18" t="str"/>
      <x:c r="S26" s="18" t="str">
        <x:v>uk_steel_2024</x:v>
      </x:c>
      <x:c r="T26" s="18" t="str">
        <x:v>selected_evidence_stream</x:v>
      </x:c>
      <x:c r="U26" s="18" t="str">
        <x:v>UK_STEEL_2026</x:v>
      </x:c>
      <x:c r="V26" s="18" t="str">
        <x:v>UK Government / Steel strategy evidence</x:v>
      </x:c>
      <x:c r="W26" s="18" t="str">
        <x:v>https://www.gov.uk/government/publications/steel-strategy/the-uk-steel-strategy-web-version</x:v>
      </x:c>
      <x:c r="X26" s="18" t="str">
        <x:v>UK steel production in 2024 approximately 4 Mt</x:v>
      </x:c>
      <x:c r="Y26" s="18" t="str">
        <x:v>Domestic crude steel output. Finished steel demand is higher because the UK is a net importer.</x:v>
      </x:c>
      <x:c r="Z26" s="18" t="str"/>
      <x:c r="AA26" s="18" t="str">
        <x:v>high</x:v>
      </x:c>
      <x:c r="AB26" s="18" t="str">
        <x:v>2026-07-24</x:v>
      </x:c>
      <x:c r="AC26" s="18" t="str"/>
      <x:c r="AD26" s="18" t="str"/>
      <x:c r="AE26" s="20" t="str"/>
      <x:c r="AF26" s="18" t="str"/>
      <x:c r="AG26" s="18" t="str">
        <x:v>Crude steel produced</x:v>
      </x:c>
      <x:c r="AH26" s="18" t="str">
        <x:v>The reported approximate mass of crude steel produced in the UK.</x:v>
      </x:c>
      <x:c r="AI26" s="18" t="str">
        <x:v>Steel production can involve ore extraction, high-temperature energy use and greenhouse-gas emissions. Scrap use can reduce primary ore demand, but remelting still requires energy.</x:v>
      </x:c>
      <x:c r="AJ26" s="18" t="str">
        <x:v>Not applicable</x:v>
      </x:c>
      <x:c r="AK26" s="18" t="str">
        <x:v>4 Mt crude steel | UK production | 2024</x:v>
      </x:c>
      <x:c r="AL26" s="18" t="str">
        <x:v>UK Government / Steel strategy evidence (data: 2024)</x:v>
      </x:c>
    </x:row>
    <x:row r="27">
      <x:c r="A27" s="18" t="str">
        <x:v>UK-STEEL-004</x:v>
      </x:c>
      <x:c r="B27" s="18" t="str">
        <x:v>Fabrication / Manufacture</x:v>
      </x:c>
      <x:c r="C27" s="18" t="str">
        <x:v>Use / Consumption</x:v>
      </x:c>
      <x:c r="D27" s="18" t="str"/>
      <x:c r="E27" s="18" t="str"/>
      <x:c r="F27" s="18" t="str">
        <x:v>Finished steel demand</x:v>
      </x:c>
      <x:c r="G27" s="18" t="str">
        <x:v>Material</x:v>
      </x:c>
      <x:c r="H27" s="20" t="n">
        <x:v>8.55</x:v>
      </x:c>
      <x:c r="I27" s="18" t="str">
        <x:v>Mt</x:v>
      </x:c>
      <x:c r="J27" s="18" t="str">
        <x:v>2024</x:v>
      </x:c>
      <x:c r="K27" s="18" t="str">
        <x:v>UK</x:v>
      </x:c>
      <x:c r="L27" s="18" t="str">
        <x:v>source_supported</x:v>
      </x:c>
      <x:c r="M27" s="18" t="str">
        <x:v>true</x:v>
      </x:c>
      <x:c r="N27" s="18" t="str">
        <x:v>false</x:v>
      </x:c>
      <x:c r="O27" s="18" t="str">
        <x:v>primary</x:v>
      </x:c>
      <x:c r="P27" s="18" t="str">
        <x:v>steel</x:v>
      </x:c>
      <x:c r="Q27" s="18" t="str">
        <x:v>Steel-containing products / structures</x:v>
      </x:c>
      <x:c r="R27" s="18" t="str"/>
      <x:c r="S27" s="18" t="str">
        <x:v>uk_steel_demand_2024</x:v>
      </x:c>
      <x:c r="T27" s="18" t="str">
        <x:v>market_use_stream</x:v>
      </x:c>
      <x:c r="U27" s="18" t="str">
        <x:v>UK_STEEL_DEMAND_2026</x:v>
      </x:c>
      <x:c r="V27" s="18" t="str">
        <x:v>UK Steel Strategy Demand Assessment</x:v>
      </x:c>
      <x:c r="W27" s="18" t="str">
        <x:v>https://assets.publishing.service.gov.uk/media/69afe1ee917847c0a4c89a28/uk-steel-strategy-demand-assessment-2025-executive-summary.pdf</x:v>
      </x:c>
      <x:c r="X27" s="18" t="str">
        <x:v>Historical finished steel demand 2024 = 8.55 Mtpa</x:v>
      </x:c>
      <x:c r="Y27" s="18" t="str">
        <x:v>Demand includes imported steel, so it intentionally exceeds UK crude-steel production.</x:v>
      </x:c>
      <x:c r="Z27" s="18" t="str"/>
      <x:c r="AA27" s="18" t="str">
        <x:v>high</x:v>
      </x:c>
      <x:c r="AB27" s="18" t="str">
        <x:v>2026-07-24</x:v>
      </x:c>
      <x:c r="AC27" s="18" t="str"/>
      <x:c r="AD27" s="18" t="str"/>
      <x:c r="AE27" s="20" t="str"/>
      <x:c r="AF27" s="18" t="str"/>
      <x:c r="AG27" s="18" t="str">
        <x:v>Finished steel demand</x:v>
      </x:c>
      <x:c r="AH27" s="18" t="str">
        <x:v>The reported demand for finished steel used in the UK, including imported steel.</x:v>
      </x:c>
      <x:c r="AI27" s="18" t="str">
        <x:v>Steel production can involve ore extraction, high-temperature energy use and greenhouse-gas emissions. Scrap use can reduce primary ore demand, but remelting still requires energy.</x:v>
      </x:c>
      <x:c r="AJ27" s="18" t="str">
        <x:v>Not applicable</x:v>
      </x:c>
      <x:c r="AK27" s="18" t="str">
        <x:v>8.55 Mt finished steel demand | UK, 2024</x:v>
      </x:c>
      <x:c r="AL27" s="18" t="str">
        <x:v>UK Steel Strategy Demand Assessment (data: 2024)</x:v>
      </x:c>
    </x:row>
    <x:row r="28">
      <x:c r="A28" s="18" t="str">
        <x:v>UK-STEEL-005</x:v>
      </x:c>
      <x:c r="B28" s="18" t="str">
        <x:v>Use / Consumption</x:v>
      </x:c>
      <x:c r="C28" s="18" t="str">
        <x:v>End of Use</x:v>
      </x:c>
      <x:c r="D28" s="18" t="str"/>
      <x:c r="E28" s="18" t="str"/>
      <x:c r="F28" s="18" t="str">
        <x:v>Steel scrap arising</x:v>
      </x:c>
      <x:c r="G28" s="18" t="str">
        <x:v>Material</x:v>
      </x:c>
      <x:c r="H28" s="20" t="str"/>
      <x:c r="I28" s="18" t="str">
        <x:v>Mt</x:v>
      </x:c>
      <x:c r="J28" s="18" t="str">
        <x:v>current strategy estimate</x:v>
      </x:c>
      <x:c r="K28" s="18" t="str">
        <x:v>UK</x:v>
      </x:c>
      <x:c r="L28" s="18" t="str">
        <x:v>range_midpoint_estimate</x:v>
      </x:c>
      <x:c r="M28" s="18" t="str">
        <x:v>true</x:v>
      </x:c>
      <x:c r="N28" s="18" t="str">
        <x:v>false</x:v>
      </x:c>
      <x:c r="O28" s="18" t="str">
        <x:v>primary</x:v>
      </x:c>
      <x:c r="P28" s="18" t="str">
        <x:v>steel_end_of_use</x:v>
      </x:c>
      <x:c r="Q28" s="18" t="str">
        <x:v>Steel-containing products / structures</x:v>
      </x:c>
      <x:c r="R28" s="18" t="str">
        <x:v>true</x:v>
      </x:c>
      <x:c r="S28" s="18" t="str">
        <x:v>uk_steel_scrap_current</x:v>
      </x:c>
      <x:c r="T28" s="18" t="str">
        <x:v>end_of_use_stream</x:v>
      </x:c>
      <x:c r="U28" s="18" t="str">
        <x:v>UK_STEEL_STRATEGY_2026</x:v>
      </x:c>
      <x:c r="V28" s="18" t="str">
        <x:v>UK Steel Strategy / Primary Steelmaking Review</x:v>
      </x:c>
      <x:c r="W28" s="18" t="str">
        <x:v>https://www.gov.uk/government/publications/steel-strategy/the-uk-steel-strategy-web-version</x:v>
      </x:c>
      <x:c r="X28" s="18" t="str">
        <x:v>UK produces around 10–11 Mt steel scrap annually</x:v>
      </x:c>
      <x:c r="Y28" s="18" t="str">
        <x:v>Midpoint estimate of reported 10–11 Mt annual scrap generation = 10.5 Mt. Scrap arises from products, vehicles, buildings and infrastructure placed into use in earlier years, so it need not equal current-year steel demand.</x:v>
      </x:c>
      <x:c r="Z28" s="18" t="str"/>
      <x:c r="AA28" s="18" t="str">
        <x:v>high</x:v>
      </x:c>
      <x:c r="AB28" s="18" t="str">
        <x:v>2026-07-24</x:v>
      </x:c>
      <x:c r="AC28" s="18" t="str"/>
      <x:c r="AD28" s="18" t="str"/>
      <x:c r="AE28" s="20" t="n">
        <x:v>10.5</x:v>
      </x:c>
      <x:c r="AF28" s="18" t="str">
        <x:v>https://www.gov.uk/government/publications/steel-strategy/the-uk-steel-strategy-web-version | https://assets.publishing.service.gov.uk/media/690b868714b040dfe829237d/uk-primary-steelmaking-review-2025.pdf</x:v>
      </x:c>
      <x:c r="AG28" s="18" t="str">
        <x:v>Steel scrap arising</x:v>
      </x:c>
      <x:c r="AH28" s="18" t="str">
        <x:v>The midpoint estimate of the annual mass of steel scrap arising from UK products, vehicles, buildings and infrastructure.</x:v>
      </x:c>
      <x:c r="AI28" s="18" t="str">
        <x:v>Steel scrap represents material that may be recovered rather than discarded, but the quantity comes from products made in earlier years and does not guarantee domestic recycling or direct reuse.</x:v>
      </x:c>
      <x:c r="AJ28" s="18" t="str">
        <x:v>Not applicable</x:v>
      </x:c>
      <x:c r="AK28" s="18" t="str">
        <x:v>10.5 Mt steel scrap arising | Midpoint estimate | UK</x:v>
      </x:c>
      <x:c r="AL28" s="18" t="str">
        <x:v>UK Steel Strategy / Primary Steelmaking Review (data period: current strategy estimate; checked: 2026-07-24)</x:v>
      </x:c>
    </x:row>
    <x:row r="29">
      <x:c r="A29" s="18" t="str">
        <x:v>UK-STEEL-006</x:v>
      </x:c>
      <x:c r="B29" s="18" t="str">
        <x:v>End of Use</x:v>
      </x:c>
      <x:c r="C29" s="18" t="str">
        <x:v>Material Processing</x:v>
      </x:c>
      <x:c r="D29" s="18" t="str"/>
      <x:c r="E29" s="18" t="str"/>
      <x:c r="F29" s="18" t="str">
        <x:v>Steel scrap used domestically</x:v>
      </x:c>
      <x:c r="G29" s="18" t="str">
        <x:v>Material</x:v>
      </x:c>
      <x:c r="H29" s="20" t="n">
        <x:v>2.2</x:v>
      </x:c>
      <x:c r="I29" s="18" t="str">
        <x:v>Mt</x:v>
      </x:c>
      <x:c r="J29" s="18" t="str">
        <x:v>current strategy estimate</x:v>
      </x:c>
      <x:c r="K29" s="18" t="str">
        <x:v>UK</x:v>
      </x:c>
      <x:c r="L29" s="18" t="str">
        <x:v>source_supported_approximate</x:v>
      </x:c>
      <x:c r="M29" s="18" t="str">
        <x:v>true</x:v>
      </x:c>
      <x:c r="N29" s="18" t="str">
        <x:v>false</x:v>
      </x:c>
      <x:c r="O29" s="18" t="str">
        <x:v>primary</x:v>
      </x:c>
      <x:c r="P29" s="18" t="str">
        <x:v>steel_end_of_use</x:v>
      </x:c>
      <x:c r="Q29" s="18" t="str">
        <x:v>Steel Scrap</x:v>
      </x:c>
      <x:c r="R29" s="18" t="str"/>
      <x:c r="S29" s="18" t="str">
        <x:v>uk_steel_scrap_current</x:v>
      </x:c>
      <x:c r="T29" s="18" t="str">
        <x:v>recycling_loop</x:v>
      </x:c>
      <x:c r="U29" s="18" t="str">
        <x:v>UK_STEEL_STRATEGY_2026</x:v>
      </x:c>
      <x:c r="V29" s="18" t="str">
        <x:v>UK Steel Strategy</x:v>
      </x:c>
      <x:c r="W29" s="18" t="str">
        <x:v>https://www.gov.uk/government/publications/steel-strategy/the-uk-steel-strategy-web-version</x:v>
      </x:c>
      <x:c r="X29" s="18" t="str">
        <x:v>Around 2.2 Mt steel scrap used domestically</x:v>
      </x:c>
      <x:c r="Y29" s="18" t="str"/>
      <x:c r="Z29" s="18" t="str"/>
      <x:c r="AA29" s="18" t="str">
        <x:v>high</x:v>
      </x:c>
      <x:c r="AB29" s="18" t="str">
        <x:v>2026-07-24</x:v>
      </x:c>
      <x:c r="AC29" s="18" t="str"/>
      <x:c r="AD29" s="18" t="str"/>
      <x:c r="AE29" s="20" t="str"/>
      <x:c r="AF29" s="18" t="str"/>
      <x:c r="AG29" s="18" t="str">
        <x:v>Steel scrap used domestically</x:v>
      </x:c>
      <x:c r="AH29" s="18" t="str">
        <x:v>The approximate mass of steel scrap used within UK steelmaking rather than leaving the domestic processing system.</x:v>
      </x:c>
      <x:c r="AI29" s="18" t="str">
        <x:v>Domestic scrap use can reduce reliance on virgin ore and some primary processing, but remelting still requires energy and usually destroys the original component form.</x:v>
      </x:c>
      <x:c r="AJ29" s="18" t="str">
        <x:v>Recycling</x:v>
      </x:c>
      <x:c r="AK29" s="18" t="str">
        <x:v>2.2 Mt steel scrap | Used domestically | Recycling</x:v>
      </x:c>
      <x:c r="AL29" s="18" t="str">
        <x:v>UK Steel Strategy (data period: current strategy estimate; checked: 2026-07-24)</x:v>
      </x:c>
    </x:row>
    <x:row r="30">
      <x:c r="A30" s="18" t="str">
        <x:v>UK-STEEL-007</x:v>
      </x:c>
      <x:c r="B30" s="18" t="str">
        <x:v>End of Use</x:v>
      </x:c>
      <x:c r="C30" s="18" t="str">
        <x:v>Export / Other Treatment</x:v>
      </x:c>
      <x:c r="D30" s="18" t="str"/>
      <x:c r="E30" s="18" t="str"/>
      <x:c r="F30" s="18" t="str">
        <x:v>Steel scrap surplus / exported</x:v>
      </x:c>
      <x:c r="G30" s="18" t="str">
        <x:v>Material</x:v>
      </x:c>
      <x:c r="H30" s="20" t="str"/>
      <x:c r="I30" s="18" t="str">
        <x:v>Mt</x:v>
      </x:c>
      <x:c r="J30" s="18" t="str">
        <x:v>current strategy estimate</x:v>
      </x:c>
      <x:c r="K30" s="18" t="str">
        <x:v>UK</x:v>
      </x:c>
      <x:c r="L30" s="18" t="str">
        <x:v>derived_estimate</x:v>
      </x:c>
      <x:c r="M30" s="18" t="str">
        <x:v>true</x:v>
      </x:c>
      <x:c r="N30" s="18" t="str">
        <x:v>false</x:v>
      </x:c>
      <x:c r="O30" s="18" t="str">
        <x:v>secondary</x:v>
      </x:c>
      <x:c r="P30" s="18" t="str">
        <x:v>steel_end_of_use</x:v>
      </x:c>
      <x:c r="Q30" s="18" t="str">
        <x:v>Steel Scrap</x:v>
      </x:c>
      <x:c r="R30" s="18" t="str"/>
      <x:c r="S30" s="18" t="str">
        <x:v>uk_steel_scrap_current</x:v>
      </x:c>
      <x:c r="T30" s="18" t="str">
        <x:v>terminal_or_export_flow</x:v>
      </x:c>
      <x:c r="U30" s="18" t="str">
        <x:v>UK_STEEL_STRATEGY_2026</x:v>
      </x:c>
      <x:c r="V30" s="18" t="str">
        <x:v>UK Steel Strategy / Primary Steelmaking Review</x:v>
      </x:c>
      <x:c r="W30" s="18" t="str">
        <x:v>https://assets.publishing.service.gov.uk/media/690b868714b040dfe829237d/uk-primary-steelmaking-review-2025.pdf</x:v>
      </x:c>
      <x:c r="X30" s="18" t="str"/>
      <x:c r="Y30" s="18" t="str">
        <x:v>Derived midpoint remainder: 10.5 Mt estimated scrap generation − 2.2 Mt domestic use = 8.3 Mt. Government review states the remainder is largely exported; label remains 'surplus/export' rather than claiming every tonne is exported.</x:v>
      </x:c>
      <x:c r="Z30" s="18" t="str"/>
      <x:c r="AA30" s="18" t="str">
        <x:v>medium-high</x:v>
      </x:c>
      <x:c r="AB30" s="18" t="str">
        <x:v>2026-07-24</x:v>
      </x:c>
      <x:c r="AC30" s="18" t="str"/>
      <x:c r="AD30" s="18" t="str"/>
      <x:c r="AE30" s="20" t="n">
        <x:v>8.3</x:v>
      </x:c>
      <x:c r="AF30" s="18" t="str">
        <x:v>https://www.gov.uk/government/publications/steel-strategy/the-uk-steel-strategy-web-version | https://assets.publishing.service.gov.uk/media/690b868714b040dfe829237d/uk-primary-steelmaking-review-2025.pdf</x:v>
      </x:c>
      <x:c r="AG30" s="18" t="str">
        <x:v>Steel scrap surplus / exported</x:v>
      </x:c>
      <x:c r="AH30" s="18" t="str">
        <x:v>The derived remainder of UK steel scrap not used domestically and understood to be largely exported or otherwise outside the represented route.</x:v>
      </x:c>
      <x:c r="AI30" s="18" t="str">
        <x:v>Export may enable recycling elsewhere, but it moves material, energy use and environmental consequences outside the visible UK system and adds transport demand.</x:v>
      </x:c>
      <x:c r="AJ30" s="18" t="str">
        <x:v>Not applicable</x:v>
      </x:c>
      <x:c r="AK30" s="18" t="str">
        <x:v>8.3 Mt steel scrap surplus | Largely exported or other route | UK</x:v>
      </x:c>
      <x:c r="AL30" s="18" t="str">
        <x:v>UK Steel Strategy / Primary Steelmaking Review (data period: current strategy estimate; checked: 2026-07-24)</x:v>
      </x:c>
    </x:row>
    <x:row r="31">
      <x:c r="A31" s="18" t="str">
        <x:v>UK-STEEL-USE-001</x:v>
      </x:c>
      <x:c r="B31" s="18" t="str">
        <x:v>Fabrication / Manufacture</x:v>
      </x:c>
      <x:c r="C31" s="18" t="str">
        <x:v>Use / Consumption</x:v>
      </x:c>
      <x:c r="D31" s="18" t="str"/>
      <x:c r="E31" s="18" t="str"/>
      <x:c r="F31" s="18" t="str">
        <x:v>Steel to construction / structures</x:v>
      </x:c>
      <x:c r="G31" s="18" t="str">
        <x:v>Material</x:v>
      </x:c>
      <x:c r="H31" s="20" t="str"/>
      <x:c r="I31" s="18" t="str">
        <x:v>Mt</x:v>
      </x:c>
      <x:c r="J31" s="18" t="str">
        <x:v>2024</x:v>
      </x:c>
      <x:c r="K31" s="18" t="str">
        <x:v>UK</x:v>
      </x:c>
      <x:c r="L31" s="18" t="str">
        <x:v>designer_estimate_mit_scaled</x:v>
      </x:c>
      <x:c r="M31" s="18" t="str">
        <x:v>true</x:v>
      </x:c>
      <x:c r="N31" s="18" t="str">
        <x:v>false</x:v>
      </x:c>
      <x:c r="O31" s="18" t="str">
        <x:v>drilldown</x:v>
      </x:c>
      <x:c r="P31" s="18" t="str">
        <x:v>steel_use_split</x:v>
      </x:c>
      <x:c r="Q31" s="18" t="str">
        <x:v>Construction / structures</x:v>
      </x:c>
      <x:c r="R31" s="18" t="str"/>
      <x:c r="S31" s="18" t="str">
        <x:v>uk_steel_demand_2024</x:v>
      </x:c>
      <x:c r="T31" s="18" t="str">
        <x:v>constituent_drilldown</x:v>
      </x:c>
      <x:c r="U31" s="18" t="str">
        <x:v>UK_STEEL_DEMAND+MIT_GLOBAL</x:v>
      </x:c>
      <x:c r="V31" s="18" t="str">
        <x:v>UK Steel Strategy Demand Assessment + MIT global Sankey allocation</x:v>
      </x:c>
      <x:c r="W31" s="18" t="str">
        <x:v>https://assets.publishing.service.gov.uk/media/69afe1ee917847c0a4c89a28/uk-steel-strategy-demand-assessment-2025-executive-summary.pdf</x:v>
      </x:c>
      <x:c r="X31" s="18" t="str"/>
      <x:c r="Y31" s="18" t="str">
        <x:v>Estimate = UK 2024 finished steel demand 8.55 Mt × MIT global downstream share 0.5200 = 4.446 Mt. This is an indicative design allocation, not a measured UK sector split.</x:v>
      </x:c>
      <x:c r="Z31" s="18" t="str"/>
      <x:c r="AA31" s="18" t="str">
        <x:v>low-medium</x:v>
      </x:c>
      <x:c r="AB31" s="18" t="str">
        <x:v>2026-07-24</x:v>
      </x:c>
      <x:c r="AC31" s="18" t="str"/>
      <x:c r="AD31" s="18" t="str"/>
      <x:c r="AE31" s="20" t="n">
        <x:v>4.446</x:v>
      </x:c>
      <x:c r="AF31" s="18" t="str">
        <x:v>https://assets.publishing.service.gov.uk/media/69afe1ee917847c0a4c89a28/uk-steel-strategy-demand-assessment-2025-executive-summary.pdf | MIT test dataset steel downstream shares</x:v>
      </x:c>
      <x:c r="AG31" s="18" t="str">
        <x:v>Steel to construction / structures</x:v>
      </x:c>
      <x:c r="AH31" s="18" t="str">
        <x:v>An estimated share of UK finished-steel demand allocated to construction and structures.</x:v>
      </x:c>
      <x:c r="AI31" s="18" t="str">
        <x:v>The ecological impact depends on steel production route, product life, maintenance and end-of-life recovery; this allocation estimates use, not environmental performance.</x:v>
      </x:c>
      <x:c r="AJ31" s="18" t="str">
        <x:v>Not applicable</x:v>
      </x:c>
      <x:c r="AK31" s="18" t="str">
        <x:v>4.446 Mt steel | Construction allocation estimate | UK, 2024</x:v>
      </x:c>
      <x:c r="AL31" s="18" t="str">
        <x:v>UK Steel Strategy Demand Assessment + MIT global Sankey allocation (data: 2024)</x:v>
      </x:c>
    </x:row>
    <x:row r="32">
      <x:c r="A32" s="18" t="str">
        <x:v>UK-STEEL-USE-002</x:v>
      </x:c>
      <x:c r="B32" s="18" t="str">
        <x:v>Fabrication / Manufacture</x:v>
      </x:c>
      <x:c r="C32" s="18" t="str">
        <x:v>Use / Consumption</x:v>
      </x:c>
      <x:c r="D32" s="18" t="str"/>
      <x:c r="E32" s="18" t="str"/>
      <x:c r="F32" s="18" t="str">
        <x:v>Steel to transport equipment</x:v>
      </x:c>
      <x:c r="G32" s="18" t="str">
        <x:v>Material</x:v>
      </x:c>
      <x:c r="H32" s="20" t="str"/>
      <x:c r="I32" s="18" t="str">
        <x:v>Mt</x:v>
      </x:c>
      <x:c r="J32" s="18" t="str">
        <x:v>2024</x:v>
      </x:c>
      <x:c r="K32" s="18" t="str">
        <x:v>UK</x:v>
      </x:c>
      <x:c r="L32" s="18" t="str">
        <x:v>designer_estimate_mit_scaled</x:v>
      </x:c>
      <x:c r="M32" s="18" t="str">
        <x:v>true</x:v>
      </x:c>
      <x:c r="N32" s="18" t="str">
        <x:v>false</x:v>
      </x:c>
      <x:c r="O32" s="18" t="str">
        <x:v>drilldown</x:v>
      </x:c>
      <x:c r="P32" s="18" t="str">
        <x:v>steel_use_split</x:v>
      </x:c>
      <x:c r="Q32" s="18" t="str">
        <x:v>Transport equipment</x:v>
      </x:c>
      <x:c r="R32" s="18" t="str"/>
      <x:c r="S32" s="18" t="str">
        <x:v>uk_steel_demand_2024</x:v>
      </x:c>
      <x:c r="T32" s="18" t="str">
        <x:v>constituent_drilldown</x:v>
      </x:c>
      <x:c r="U32" s="18" t="str">
        <x:v>UK_STEEL_DEMAND+MIT_GLOBAL</x:v>
      </x:c>
      <x:c r="V32" s="18" t="str">
        <x:v>UK Steel Strategy Demand Assessment + MIT global Sankey allocation</x:v>
      </x:c>
      <x:c r="W32" s="18" t="str">
        <x:v>https://assets.publishing.service.gov.uk/media/69afe1ee917847c0a4c89a28/uk-steel-strategy-demand-assessment-2025-executive-summary.pdf</x:v>
      </x:c>
      <x:c r="X32" s="18" t="str"/>
      <x:c r="Y32" s="18" t="str">
        <x:v>Estimate = UK 2024 finished steel demand 8.55 Mt × MIT global downstream share 0.1700 = 1.454 Mt. This is an indicative design allocation, not a measured UK sector split.</x:v>
      </x:c>
      <x:c r="Z32" s="18" t="str"/>
      <x:c r="AA32" s="18" t="str">
        <x:v>low-medium</x:v>
      </x:c>
      <x:c r="AB32" s="18" t="str">
        <x:v>2026-07-24</x:v>
      </x:c>
      <x:c r="AC32" s="18" t="str"/>
      <x:c r="AD32" s="18" t="str"/>
      <x:c r="AE32" s="20" t="n">
        <x:v>1.454</x:v>
      </x:c>
      <x:c r="AF32" s="18" t="str">
        <x:v>https://assets.publishing.service.gov.uk/media/69afe1ee917847c0a4c89a28/uk-steel-strategy-demand-assessment-2025-executive-summary.pdf | MIT test dataset steel downstream shares</x:v>
      </x:c>
      <x:c r="AG32" s="18" t="str">
        <x:v>Steel to transport equipment</x:v>
      </x:c>
      <x:c r="AH32" s="18" t="str">
        <x:v>An estimated share of UK finished-steel demand allocated to transport equipment.</x:v>
      </x:c>
      <x:c r="AI32" s="18" t="str">
        <x:v>The ecological impact depends on steel production route, product life, maintenance and end-of-life recovery; this allocation estimates use, not environmental performance.</x:v>
      </x:c>
      <x:c r="AJ32" s="18" t="str">
        <x:v>Not applicable</x:v>
      </x:c>
      <x:c r="AK32" s="18" t="str">
        <x:v>1.454 Mt steel | Transport equipment estimate | UK, 2024</x:v>
      </x:c>
      <x:c r="AL32" s="18" t="str">
        <x:v>UK Steel Strategy Demand Assessment + MIT global Sankey allocation (data: 2024)</x:v>
      </x:c>
    </x:row>
    <x:row r="33">
      <x:c r="A33" s="18" t="str">
        <x:v>UK-STEEL-USE-003</x:v>
      </x:c>
      <x:c r="B33" s="18" t="str">
        <x:v>Fabrication / Manufacture</x:v>
      </x:c>
      <x:c r="C33" s="18" t="str">
        <x:v>Use / Consumption</x:v>
      </x:c>
      <x:c r="D33" s="18" t="str"/>
      <x:c r="E33" s="18" t="str"/>
      <x:c r="F33" s="18" t="str">
        <x:v>Steel to machinery</x:v>
      </x:c>
      <x:c r="G33" s="18" t="str">
        <x:v>Material</x:v>
      </x:c>
      <x:c r="H33" s="20" t="str"/>
      <x:c r="I33" s="18" t="str">
        <x:v>Mt</x:v>
      </x:c>
      <x:c r="J33" s="18" t="str">
        <x:v>2024</x:v>
      </x:c>
      <x:c r="K33" s="18" t="str">
        <x:v>UK</x:v>
      </x:c>
      <x:c r="L33" s="18" t="str">
        <x:v>designer_estimate_mit_scaled</x:v>
      </x:c>
      <x:c r="M33" s="18" t="str">
        <x:v>true</x:v>
      </x:c>
      <x:c r="N33" s="18" t="str">
        <x:v>false</x:v>
      </x:c>
      <x:c r="O33" s="18" t="str">
        <x:v>drilldown</x:v>
      </x:c>
      <x:c r="P33" s="18" t="str">
        <x:v>steel_use_split</x:v>
      </x:c>
      <x:c r="Q33" s="18" t="str">
        <x:v>Machinery</x:v>
      </x:c>
      <x:c r="R33" s="18" t="str"/>
      <x:c r="S33" s="18" t="str">
        <x:v>uk_steel_demand_2024</x:v>
      </x:c>
      <x:c r="T33" s="18" t="str">
        <x:v>constituent_drilldown</x:v>
      </x:c>
      <x:c r="U33" s="18" t="str">
        <x:v>UK_STEEL_DEMAND+MIT_GLOBAL</x:v>
      </x:c>
      <x:c r="V33" s="18" t="str">
        <x:v>UK Steel Strategy Demand Assessment + MIT global Sankey allocation</x:v>
      </x:c>
      <x:c r="W33" s="18" t="str">
        <x:v>https://assets.publishing.service.gov.uk/media/69afe1ee917847c0a4c89a28/uk-steel-strategy-demand-assessment-2025-executive-summary.pdf</x:v>
      </x:c>
      <x:c r="X33" s="18" t="str"/>
      <x:c r="Y33" s="18" t="str">
        <x:v>Estimate = UK 2024 finished steel demand 8.55 Mt × MIT global downstream share 0.1600 = 1.368 Mt. This is an indicative design allocation, not a measured UK sector split.</x:v>
      </x:c>
      <x:c r="Z33" s="18" t="str"/>
      <x:c r="AA33" s="18" t="str">
        <x:v>low-medium</x:v>
      </x:c>
      <x:c r="AB33" s="18" t="str">
        <x:v>2026-07-24</x:v>
      </x:c>
      <x:c r="AC33" s="18" t="str"/>
      <x:c r="AD33" s="18" t="str"/>
      <x:c r="AE33" s="20" t="n">
        <x:v>1.368</x:v>
      </x:c>
      <x:c r="AF33" s="18" t="str">
        <x:v>https://assets.publishing.service.gov.uk/media/69afe1ee917847c0a4c89a28/uk-steel-strategy-demand-assessment-2025-executive-summary.pdf | MIT test dataset steel downstream shares</x:v>
      </x:c>
      <x:c r="AG33" s="18" t="str">
        <x:v>Steel to machinery</x:v>
      </x:c>
      <x:c r="AH33" s="18" t="str">
        <x:v>An estimated share of UK finished-steel demand allocated to machinery.</x:v>
      </x:c>
      <x:c r="AI33" s="18" t="str">
        <x:v>The ecological impact depends on steel production route, product life, maintenance and end-of-life recovery; this allocation estimates use, not environmental performance.</x:v>
      </x:c>
      <x:c r="AJ33" s="18" t="str">
        <x:v>Not applicable</x:v>
      </x:c>
      <x:c r="AK33" s="18" t="str">
        <x:v>1.368 Mt steel | Machinery allocation estimate | UK, 2024</x:v>
      </x:c>
      <x:c r="AL33" s="18" t="str">
        <x:v>UK Steel Strategy Demand Assessment + MIT global Sankey allocation (data: 2024)</x:v>
      </x:c>
    </x:row>
    <x:row r="34">
      <x:c r="A34" s="18" t="str">
        <x:v>UK-STEEL-USE-004</x:v>
      </x:c>
      <x:c r="B34" s="18" t="str">
        <x:v>Fabrication / Manufacture</x:v>
      </x:c>
      <x:c r="C34" s="18" t="str">
        <x:v>Use / Consumption</x:v>
      </x:c>
      <x:c r="D34" s="18" t="str"/>
      <x:c r="E34" s="18" t="str"/>
      <x:c r="F34" s="18" t="str">
        <x:v>Steel to other manufactured products</x:v>
      </x:c>
      <x:c r="G34" s="18" t="str">
        <x:v>Material</x:v>
      </x:c>
      <x:c r="H34" s="20" t="str"/>
      <x:c r="I34" s="18" t="str">
        <x:v>Mt</x:v>
      </x:c>
      <x:c r="J34" s="18" t="str">
        <x:v>2024</x:v>
      </x:c>
      <x:c r="K34" s="18" t="str">
        <x:v>UK</x:v>
      </x:c>
      <x:c r="L34" s="18" t="str">
        <x:v>designer_estimate_mit_scaled</x:v>
      </x:c>
      <x:c r="M34" s="18" t="str">
        <x:v>true</x:v>
      </x:c>
      <x:c r="N34" s="18" t="str">
        <x:v>false</x:v>
      </x:c>
      <x:c r="O34" s="18" t="str">
        <x:v>drilldown</x:v>
      </x:c>
      <x:c r="P34" s="18" t="str">
        <x:v>steel_use_split</x:v>
      </x:c>
      <x:c r="Q34" s="18" t="str">
        <x:v>Other manufactured products</x:v>
      </x:c>
      <x:c r="R34" s="18" t="str"/>
      <x:c r="S34" s="18" t="str">
        <x:v>uk_steel_demand_2024</x:v>
      </x:c>
      <x:c r="T34" s="18" t="str">
        <x:v>constituent_drilldown</x:v>
      </x:c>
      <x:c r="U34" s="18" t="str">
        <x:v>UK_STEEL_DEMAND+MIT_GLOBAL</x:v>
      </x:c>
      <x:c r="V34" s="18" t="str">
        <x:v>UK Steel Strategy Demand Assessment + MIT global Sankey allocation</x:v>
      </x:c>
      <x:c r="W34" s="18" t="str">
        <x:v>https://assets.publishing.service.gov.uk/media/69afe1ee917847c0a4c89a28/uk-steel-strategy-demand-assessment-2025-executive-summary.pdf</x:v>
      </x:c>
      <x:c r="X34" s="18" t="str"/>
      <x:c r="Y34" s="18" t="str">
        <x:v>Estimate = UK 2024 finished steel demand 8.55 Mt × MIT global downstream share 0.1500 = 1.282 Mt. This is an indicative design allocation, not a measured UK sector split.</x:v>
      </x:c>
      <x:c r="Z34" s="18" t="str"/>
      <x:c r="AA34" s="18" t="str">
        <x:v>low-medium</x:v>
      </x:c>
      <x:c r="AB34" s="18" t="str">
        <x:v>2026-07-24</x:v>
      </x:c>
      <x:c r="AC34" s="18" t="str"/>
      <x:c r="AD34" s="18" t="str"/>
      <x:c r="AE34" s="20" t="n">
        <x:v>1.282</x:v>
      </x:c>
      <x:c r="AF34" s="18" t="str">
        <x:v>https://assets.publishing.service.gov.uk/media/69afe1ee917847c0a4c89a28/uk-steel-strategy-demand-assessment-2025-executive-summary.pdf | MIT test dataset steel downstream shares</x:v>
      </x:c>
      <x:c r="AG34" s="18" t="str">
        <x:v>Steel to other manufactured products</x:v>
      </x:c>
      <x:c r="AH34" s="18" t="str">
        <x:v>An estimated share of UK finished-steel demand allocated to other manufactured products.</x:v>
      </x:c>
      <x:c r="AI34" s="18" t="str">
        <x:v>The ecological impact depends on steel production route, product life, maintenance and end-of-life recovery; this allocation estimates use, not environmental performance.</x:v>
      </x:c>
      <x:c r="AJ34" s="18" t="str">
        <x:v>Not applicable</x:v>
      </x:c>
      <x:c r="AK34" s="18" t="str">
        <x:v>1.282 Mt steel | Other manufactured products estimate | UK, 2024</x:v>
      </x:c>
      <x:c r="AL34" s="18" t="str">
        <x:v>UK Steel Strategy Demand Assessment + MIT global Sankey allocation (data: 2024)</x:v>
      </x:c>
    </x:row>
    <x:row r="35">
      <x:c r="A35" s="18" t="str">
        <x:v>UK-STEEL-ENE-001</x:v>
      </x:c>
      <x:c r="B35" s="18" t="str">
        <x:v>Energy</x:v>
      </x:c>
      <x:c r="C35" s="18" t="str">
        <x:v>Material Processing</x:v>
      </x:c>
      <x:c r="D35" s="18" t="str"/>
      <x:c r="E35" s="18" t="str"/>
      <x:c r="F35" s="18" t="str">
        <x:v>Estimated energy for UK steelmaking</x:v>
      </x:c>
      <x:c r="G35" s="18" t="str">
        <x:v>Energy</x:v>
      </x:c>
      <x:c r="H35" s="20" t="str"/>
      <x:c r="I35" s="18" t="str">
        <x:v>Mtoe</x:v>
      </x:c>
      <x:c r="J35" s="18" t="str">
        <x:v>2024</x:v>
      </x:c>
      <x:c r="K35" s="18" t="str">
        <x:v>UK</x:v>
      </x:c>
      <x:c r="L35" s="18" t="str">
        <x:v>international_intensity_estimate</x:v>
      </x:c>
      <x:c r="M35" s="18" t="str">
        <x:v>true</x:v>
      </x:c>
      <x:c r="N35" s="18" t="str">
        <x:v>false</x:v>
      </x:c>
      <x:c r="O35" s="18" t="str">
        <x:v>drilldown</x:v>
      </x:c>
      <x:c r="P35" s="18" t="str">
        <x:v>steel_energy</x:v>
      </x:c>
      <x:c r="Q35" s="18" t="str">
        <x:v>Steel</x:v>
      </x:c>
      <x:c r="R35" s="18" t="str"/>
      <x:c r="S35" s="18" t="str">
        <x:v>steel_process_estimates_2024</x:v>
      </x:c>
      <x:c r="T35" s="18" t="str">
        <x:v>sector_drilldown</x:v>
      </x:c>
      <x:c r="U35" s="18" t="str">
        <x:v>WORLDSTEEL_INTENSITY_2026</x:v>
      </x:c>
      <x:c r="V35" s="18" t="str">
        <x:v>World Steel Association sustainability indicators</x:v>
      </x:c>
      <x:c r="W35" s="18" t="str">
        <x:v>https://worldsteel.org/data/world-steel-in-figures/world-steel-in-figures-2026/</x:v>
      </x:c>
      <x:c r="X35" s="18" t="str"/>
      <x:c r="Y35" s="18" t="str">
        <x:v>Estimate = 4.0 Mt UK crude steel × 20.95 GJ/t global average energy intensity = 83.8 PJ = 2.002 Mtoe. Actual UK route mix may differ substantially.</x:v>
      </x:c>
      <x:c r="Z35" s="18" t="str"/>
      <x:c r="AA35" s="18" t="str">
        <x:v>low-medium</x:v>
      </x:c>
      <x:c r="AB35" s="18" t="str">
        <x:v>2026-07-24</x:v>
      </x:c>
      <x:c r="AC35" s="18" t="str"/>
      <x:c r="AD35" s="18" t="str"/>
      <x:c r="AE35" s="20" t="n">
        <x:v>2.002</x:v>
      </x:c>
      <x:c r="AF35" s="18" t="str">
        <x:v>https://worldsteel.org/data/world-steel-in-figures/world-steel-in-figures-2026/ | https://www.gov.uk/government/publications/steel-strategy/the-uk-steel-strategy-web-version</x:v>
      </x:c>
      <x:c r="AG35" s="18" t="str">
        <x:v>Estimated energy for UK steelmaking</x:v>
      </x:c>
      <x:c r="AH35" s="18" t="str">
        <x:v>An estimate of energy used for UK steelmaking, calculated from UK output and a global average energy intensity.</x:v>
      </x:c>
      <x:c r="AI35" s="18" t="str">
        <x:v>Energy demand contributes to emissions and resource use according to the fuel and production route; the figure is an international-intensity estimate rather than a UK plant measurement.</x:v>
      </x:c>
      <x:c r="AJ35" s="18" t="str">
        <x:v>Not applicable</x:v>
      </x:c>
      <x:c r="AK35" s="18" t="str">
        <x:v>2.002 Mtoe steelmaking energy | International intensity estimate | 2024</x:v>
      </x:c>
      <x:c r="AL35" s="18" t="str">
        <x:v>World Steel Association sustainability indicators (data: 2024)</x:v>
      </x:c>
    </x:row>
    <x:row r="36">
      <x:c r="A36" s="18" t="str">
        <x:v>UK-STEEL-CO2-001</x:v>
      </x:c>
      <x:c r="B36" s="18" t="str">
        <x:v>Material Processing</x:v>
      </x:c>
      <x:c r="C36" s="18" t="str">
        <x:v>Atmospheric Emissions</x:v>
      </x:c>
      <x:c r="D36" s="18" t="str"/>
      <x:c r="E36" s="18" t="str"/>
      <x:c r="F36" s="18" t="str">
        <x:v>Estimated steelmaking CO2</x:v>
      </x:c>
      <x:c r="G36" s="18" t="str">
        <x:v>Emissions</x:v>
      </x:c>
      <x:c r="H36" s="20" t="str"/>
      <x:c r="I36" s="18" t="str">
        <x:v>MtCO2</x:v>
      </x:c>
      <x:c r="J36" s="18" t="str">
        <x:v>2024</x:v>
      </x:c>
      <x:c r="K36" s="18" t="str">
        <x:v>UK</x:v>
      </x:c>
      <x:c r="L36" s="18" t="str">
        <x:v>international_intensity_estimate</x:v>
      </x:c>
      <x:c r="M36" s="18" t="str">
        <x:v>true</x:v>
      </x:c>
      <x:c r="N36" s="18" t="str">
        <x:v>false</x:v>
      </x:c>
      <x:c r="O36" s="18" t="str">
        <x:v>drilldown</x:v>
      </x:c>
      <x:c r="P36" s="18" t="str">
        <x:v>steel_emissions</x:v>
      </x:c>
      <x:c r="Q36" s="18" t="str">
        <x:v>Steel</x:v>
      </x:c>
      <x:c r="R36" s="18" t="str"/>
      <x:c r="S36" s="18" t="str">
        <x:v>steel_process_estimates_2024</x:v>
      </x:c>
      <x:c r="T36" s="18" t="str">
        <x:v>sector_drilldown</x:v>
      </x:c>
      <x:c r="U36" s="18" t="str">
        <x:v>WORLDSTEEL_INTENSITY_2026</x:v>
      </x:c>
      <x:c r="V36" s="18" t="str">
        <x:v>World Steel Association sustainability indicators</x:v>
      </x:c>
      <x:c r="W36" s="18" t="str">
        <x:v>https://worldsteel.org/data/world-steel-in-figures/world-steel-in-figures-2026/</x:v>
      </x:c>
      <x:c r="X36" s="18" t="str"/>
      <x:c r="Y36" s="18" t="str">
        <x:v>Estimate = 4.0 Mt crude steel × 1.92 tCO2/t global average = 7.680 MtCO2. Do not add to an overview manufacturing-emissions estimate if that estimate already includes steel.</x:v>
      </x:c>
      <x:c r="Z36" s="18" t="str"/>
      <x:c r="AA36" s="18" t="str">
        <x:v>low-medium</x:v>
      </x:c>
      <x:c r="AB36" s="18" t="str">
        <x:v>2026-07-24</x:v>
      </x:c>
      <x:c r="AC36" s="18" t="str"/>
      <x:c r="AD36" s="18" t="str"/>
      <x:c r="AE36" s="20" t="n">
        <x:v>7.68</x:v>
      </x:c>
      <x:c r="AF36" s="18" t="str">
        <x:v>https://worldsteel.org/data/world-steel-in-figures/world-steel-in-figures-2026/ | https://www.gov.uk/government/publications/steel-strategy/the-uk-steel-strategy-web-version</x:v>
      </x:c>
      <x:c r="AG36" s="18" t="str">
        <x:v>Estimated steelmaking CO₂</x:v>
      </x:c>
      <x:c r="AH36" s="18" t="str">
        <x:v>An estimate of carbon-dioxide emissions from UK steelmaking, calculated from UK output and a global average emissions intensity.</x:v>
      </x:c>
      <x:c r="AI36" s="18" t="str">
        <x:v>This represents climate impact from steelmaking rather than material loss. Actual UK emissions depend on plant technology, fuel mix and production route.</x:v>
      </x:c>
      <x:c r="AJ36" s="18" t="str">
        <x:v>Not applicable</x:v>
      </x:c>
      <x:c r="AK36" s="18" t="str">
        <x:v>7.68 MtCO₂ steelmaking estimate | UK, 2024</x:v>
      </x:c>
      <x:c r="AL36" s="18" t="str">
        <x:v>World Steel Association sustainability indicators (data: 2024)</x:v>
      </x:c>
    </x:row>
    <x:row r="37">
      <x:c r="A37" s="18" t="str">
        <x:v>UK-WOOD-001</x:v>
      </x:c>
      <x:c r="B37" s="18" t="str">
        <x:v>Virgin Resources</x:v>
      </x:c>
      <x:c r="C37" s="18" t="str">
        <x:v>Extraction</x:v>
      </x:c>
      <x:c r="D37" s="18" t="str"/>
      <x:c r="E37" s="18" t="str"/>
      <x:c r="F37" s="18" t="str">
        <x:v>UK-grown roundwood for material uses</x:v>
      </x:c>
      <x:c r="G37" s="18" t="str">
        <x:v>Material</x:v>
      </x:c>
      <x:c r="H37" s="20" t="str"/>
      <x:c r="I37" s="18" t="str">
        <x:v>Mt green</x:v>
      </x:c>
      <x:c r="J37" s="18" t="str">
        <x:v>2024</x:v>
      </x:c>
      <x:c r="K37" s="18" t="str">
        <x:v>UK</x:v>
      </x:c>
      <x:c r="L37" s="18" t="str">
        <x:v>derived_from_source_supported</x:v>
      </x:c>
      <x:c r="M37" s="18" t="str">
        <x:v>true</x:v>
      </x:c>
      <x:c r="N37" s="18" t="str">
        <x:v>false</x:v>
      </x:c>
      <x:c r="O37" s="18" t="str">
        <x:v>primary</x:v>
      </x:c>
      <x:c r="P37" s="18" t="str">
        <x:v>wood</x:v>
      </x:c>
      <x:c r="Q37" s="18" t="str">
        <x:v>Timber / Wood Products</x:v>
      </x:c>
      <x:c r="R37" s="18" t="str"/>
      <x:c r="S37" s="18" t="str">
        <x:v>uk_roundwood_2024</x:v>
      </x:c>
      <x:c r="T37" s="18" t="str">
        <x:v>selected_evidence_stream</x:v>
      </x:c>
      <x:c r="U37" s="18" t="str">
        <x:v>FORESTRY_STATS_2025</x:v>
      </x:c>
      <x:c r="V37" s="18" t="str">
        <x:v>Forest Research — Forestry Statistics 2025</x:v>
      </x:c>
      <x:c r="W37" s="18" t="str">
        <x:v>https://www.forestresearch.gov.uk/tools-and-resources/statistics/publications/forestry-statistics/forestry-statistics-2025/2025-2-uk-grown-timber/</x:v>
      </x:c>
      <x:c r="X37" s="18" t="str"/>
      <x:c r="Y37" s="18" t="str">
        <x:v>Derived as 10.4 Mt green roundwood deliveries − 2.4 Mt woodfuel = 8.0 Mt green tonnes for sawmills, panels, pulp/paper and other uses. 'Other' may include exports/fencing/shavings, so not all 8.0 Mt becomes manufactured products.</x:v>
      </x:c>
      <x:c r="Z37" s="18" t="str"/>
      <x:c r="AA37" s="18" t="str">
        <x:v>medium-high</x:v>
      </x:c>
      <x:c r="AB37" s="18" t="str">
        <x:v>2026-07-24</x:v>
      </x:c>
      <x:c r="AC37" s="18" t="str"/>
      <x:c r="AD37" s="18" t="str"/>
      <x:c r="AE37" s="20" t="n">
        <x:v>8</x:v>
      </x:c>
      <x:c r="AF37" s="18" t="str">
        <x:v>https://www.forestresearch.gov.uk/tools-and-resources/statistics/publications/forestry-statistics/forestry-statistics-2025/2025-2-uk-grown-timber/</x:v>
      </x:c>
      <x:c r="AG37" s="18" t="str">
        <x:v>UK-grown roundwood for material uses</x:v>
      </x:c>
      <x:c r="AH37" s="18" t="str">
        <x:v>The derived mass of UK-grown roundwood delivered for material uses after excluding reported woodfuel.</x:v>
      </x:c>
      <x:c r="AI37" s="18" t="str">
        <x:v>Wood can be renewable when harvesting remains within forest regeneration and protects soils and habitats. Drying, processing, adhesives and transport still create impacts, and green-tonne figures do not describe forest condition.</x:v>
      </x:c>
      <x:c r="AJ37" s="18" t="str">
        <x:v>Not applicable</x:v>
      </x:c>
      <x:c r="AK37" s="18" t="str">
        <x:v>8 Mt green roundwood | Material uses | UK, 2024</x:v>
      </x:c>
      <x:c r="AL37" s="18" t="str">
        <x:v>Forest Research — Forestry Statistics 2025 (data: 2024)</x:v>
      </x:c>
    </x:row>
    <x:row r="38">
      <x:c r="A38" s="18" t="str">
        <x:v>UK-WOOD-002</x:v>
      </x:c>
      <x:c r="B38" s="18" t="str">
        <x:v>Extraction</x:v>
      </x:c>
      <x:c r="C38" s="18" t="str">
        <x:v>Material Processing</x:v>
      </x:c>
      <x:c r="D38" s="18" t="str"/>
      <x:c r="E38" s="18" t="str"/>
      <x:c r="F38" s="18" t="str">
        <x:v>Roundwood entering material processing</x:v>
      </x:c>
      <x:c r="G38" s="18" t="str">
        <x:v>Material</x:v>
      </x:c>
      <x:c r="H38" s="20" t="str"/>
      <x:c r="I38" s="18" t="str">
        <x:v>Mt green</x:v>
      </x:c>
      <x:c r="J38" s="18" t="str">
        <x:v>2024</x:v>
      </x:c>
      <x:c r="K38" s="18" t="str">
        <x:v>UK</x:v>
      </x:c>
      <x:c r="L38" s="18" t="str">
        <x:v>derived_from_source_supported</x:v>
      </x:c>
      <x:c r="M38" s="18" t="str">
        <x:v>true</x:v>
      </x:c>
      <x:c r="N38" s="18" t="str">
        <x:v>false</x:v>
      </x:c>
      <x:c r="O38" s="18" t="str">
        <x:v>primary</x:v>
      </x:c>
      <x:c r="P38" s="18" t="str">
        <x:v>wood</x:v>
      </x:c>
      <x:c r="Q38" s="18" t="str">
        <x:v>Timber / Wood Products</x:v>
      </x:c>
      <x:c r="R38" s="18" t="str"/>
      <x:c r="S38" s="18" t="str">
        <x:v>uk_roundwood_2024</x:v>
      </x:c>
      <x:c r="T38" s="18" t="str">
        <x:v>stage_transfer_proxy</x:v>
      </x:c>
      <x:c r="U38" s="18" t="str">
        <x:v>FORESTRY_STATS_2025</x:v>
      </x:c>
      <x:c r="V38" s="18" t="str">
        <x:v>Forest Research — Forestry Statistics 2025</x:v>
      </x:c>
      <x:c r="W38" s="18" t="str">
        <x:v>https://www.forestresearch.gov.uk/tools-and-resources/statistics/publications/forestry-statistics/forestry-statistics-2025/2025-2-uk-grown-timber/</x:v>
      </x:c>
      <x:c r="X38" s="18" t="str"/>
      <x:c r="Y38" s="18" t="str">
        <x:v>Carries the 8.0 Mt green material-use roundwood estimate into processing.</x:v>
      </x:c>
      <x:c r="Z38" s="18" t="str"/>
      <x:c r="AA38" s="18" t="str">
        <x:v>medium-high</x:v>
      </x:c>
      <x:c r="AB38" s="18" t="str">
        <x:v>2026-07-24</x:v>
      </x:c>
      <x:c r="AC38" s="18" t="str"/>
      <x:c r="AD38" s="18" t="str"/>
      <x:c r="AE38" s="20" t="n">
        <x:v>8</x:v>
      </x:c>
      <x:c r="AF38" s="18" t="str">
        <x:v>https://www.forestresearch.gov.uk/tools-and-resources/statistics/publications/forestry-statistics/forestry-statistics-2025/2025-2-uk-grown-timber/</x:v>
      </x:c>
      <x:c r="AG38" s="18" t="str">
        <x:v>Roundwood entering material processing</x:v>
      </x:c>
      <x:c r="AH38" s="18" t="str">
        <x:v>The same estimated roundwood mass entering sawmilling, panels, pulp/paper and other material-processing routes.</x:v>
      </x:c>
      <x:c r="AI38" s="18" t="str">
        <x:v>Wood can be renewable when harvesting remains within forest regeneration and protects soils and habitats. Drying, processing, adhesives and transport still create impacts, and green-tonne figures do not describe forest condition.</x:v>
      </x:c>
      <x:c r="AJ38" s="18" t="str">
        <x:v>Not applicable</x:v>
      </x:c>
      <x:c r="AK38" s="18" t="str">
        <x:v>8 Mt green roundwood | Processing input | UK, 2024</x:v>
      </x:c>
      <x:c r="AL38" s="18" t="str">
        <x:v>Forest Research — Forestry Statistics 2025 (data: 2024)</x:v>
      </x:c>
    </x:row>
    <x:row r="39">
      <x:c r="A39" s="18" t="str">
        <x:v>UK-WOOD-003</x:v>
      </x:c>
      <x:c r="B39" s="18" t="str">
        <x:v>Material Processing</x:v>
      </x:c>
      <x:c r="C39" s="18" t="str">
        <x:v>Fabrication / Manufacture</x:v>
      </x:c>
      <x:c r="D39" s="18" t="str"/>
      <x:c r="E39" s="18" t="str"/>
      <x:c r="F39" s="18" t="str">
        <x:v>Processed wood products — useful output estimate</x:v>
      </x:c>
      <x:c r="G39" s="18" t="str">
        <x:v>Material</x:v>
      </x:c>
      <x:c r="H39" s="20" t="str"/>
      <x:c r="I39" s="18" t="str">
        <x:v>Mt green-equivalent</x:v>
      </x:c>
      <x:c r="J39" s="18" t="str">
        <x:v>2024</x:v>
      </x:c>
      <x:c r="K39" s="18" t="str">
        <x:v>UK</x:v>
      </x:c>
      <x:c r="L39" s="18" t="str">
        <x:v>designer_estimate_mit_scaled</x:v>
      </x:c>
      <x:c r="M39" s="18" t="str">
        <x:v>true</x:v>
      </x:c>
      <x:c r="N39" s="18" t="str">
        <x:v>false</x:v>
      </x:c>
      <x:c r="O39" s="18" t="str">
        <x:v>primary</x:v>
      </x:c>
      <x:c r="P39" s="18" t="str">
        <x:v>wood</x:v>
      </x:c>
      <x:c r="Q39" s="18" t="str">
        <x:v>Timber / Wood Products</x:v>
      </x:c>
      <x:c r="R39" s="18" t="str"/>
      <x:c r="S39" s="18" t="str">
        <x:v>uk_roundwood_2024_estimate</x:v>
      </x:c>
      <x:c r="T39" s="18" t="str">
        <x:v>estimated_output</x:v>
      </x:c>
      <x:c r="U39" s="18" t="str">
        <x:v>FORESTRY_STATS+MIT_GLOBAL</x:v>
      </x:c>
      <x:c r="V39" s="18" t="str">
        <x:v>Forest Research + MIT global Sankey wood-yield relationship</x:v>
      </x:c>
      <x:c r="W39" s="18" t="str">
        <x:v>https://www.forestresearch.gov.uk/tools-and-resources/statistics/publications/forestry-statistics/forestry-statistics-2025/2025-2-uk-grown-timber/</x:v>
      </x:c>
      <x:c r="X39" s="18" t="str"/>
      <x:c r="Y39" s="18" t="str">
        <x:v>Estimate = 8.0 Mt green material-use roundwood × MIT useful-output ratio (460/560) = 6.571 Mt green-equivalent. Not a measured UK mass-yield.</x:v>
      </x:c>
      <x:c r="Z39" s="18" t="str"/>
      <x:c r="AA39" s="18" t="str">
        <x:v>low-medium</x:v>
      </x:c>
      <x:c r="AB39" s="18" t="str">
        <x:v>2026-07-24</x:v>
      </x:c>
      <x:c r="AC39" s="18" t="str"/>
      <x:c r="AD39" s="18" t="str"/>
      <x:c r="AE39" s="20" t="n">
        <x:v>6.571</x:v>
      </x:c>
      <x:c r="AF39" s="18" t="str">
        <x:v>https://www.forestresearch.gov.uk/tools-and-resources/statistics/publications/forestry-statistics/forestry-statistics-2025/2025-2-uk-grown-timber/ | MIT test dataset wood relationship</x:v>
      </x:c>
      <x:c r="AG39" s="18" t="str">
        <x:v>Processed wood products — useful output estimate</x:v>
      </x:c>
      <x:c r="AH39" s="18" t="str">
        <x:v>An estimate of useful processed wood output using the yield relationship in the global MIT flow model.</x:v>
      </x:c>
      <x:c r="AI39" s="18" t="str">
        <x:v>Wood can be renewable when harvesting remains within forest regeneration and protects soils and habitats. Drying, processing, adhesives and transport still create impacts, and green-tonne figures do not describe forest condition.</x:v>
      </x:c>
      <x:c r="AJ39" s="18" t="str">
        <x:v>Not applicable</x:v>
      </x:c>
      <x:c r="AK39" s="18" t="str">
        <x:v>6.571 Mt green-equivalent wood products | Estimated useful output | 2024</x:v>
      </x:c>
      <x:c r="AL39" s="18" t="str">
        <x:v>Forest Research + MIT global Sankey wood-yield relationship (data: 2024)</x:v>
      </x:c>
    </x:row>
    <x:row r="40">
      <x:c r="A40" s="18" t="str">
        <x:v>UK-WOOD-004</x:v>
      </x:c>
      <x:c r="B40" s="18" t="str">
        <x:v>Material Processing</x:v>
      </x:c>
      <x:c r="C40" s="18" t="str">
        <x:v>Waste / Losses</x:v>
      </x:c>
      <x:c r="D40" s="18" t="str"/>
      <x:c r="E40" s="18" t="str"/>
      <x:c r="F40" s="18" t="str">
        <x:v>Wood-processing residues estimate</x:v>
      </x:c>
      <x:c r="G40" s="18" t="str">
        <x:v>Material</x:v>
      </x:c>
      <x:c r="H40" s="20" t="str"/>
      <x:c r="I40" s="18" t="str">
        <x:v>Mt green-equivalent</x:v>
      </x:c>
      <x:c r="J40" s="18" t="str">
        <x:v>2024</x:v>
      </x:c>
      <x:c r="K40" s="18" t="str">
        <x:v>UK</x:v>
      </x:c>
      <x:c r="L40" s="18" t="str">
        <x:v>designer_estimate_mit_scaled</x:v>
      </x:c>
      <x:c r="M40" s="18" t="str">
        <x:v>true</x:v>
      </x:c>
      <x:c r="N40" s="18" t="str">
        <x:v>false</x:v>
      </x:c>
      <x:c r="O40" s="18" t="str">
        <x:v>secondary</x:v>
      </x:c>
      <x:c r="P40" s="18" t="str">
        <x:v>wood</x:v>
      </x:c>
      <x:c r="Q40" s="18" t="str">
        <x:v>Wood Residues</x:v>
      </x:c>
      <x:c r="R40" s="18" t="str"/>
      <x:c r="S40" s="18" t="str">
        <x:v>uk_roundwood_2024_estimate</x:v>
      </x:c>
      <x:c r="T40" s="18" t="str">
        <x:v>estimated_loss_output</x:v>
      </x:c>
      <x:c r="U40" s="18" t="str">
        <x:v>FORESTRY_STATS+MIT_GLOBAL</x:v>
      </x:c>
      <x:c r="V40" s="18" t="str">
        <x:v>Forest Research + MIT global Sankey wood-yield relationship</x:v>
      </x:c>
      <x:c r="W40" s="18" t="str">
        <x:v>https://www.forestresearch.gov.uk/tools-and-resources/statistics/publications/forestry-statistics/forestry-statistics-2025/2025-2-uk-grown-timber/</x:v>
      </x:c>
      <x:c r="X40" s="18" t="str"/>
      <x:c r="Y40" s="18" t="str">
        <x:v>Estimate = 8.0 × MIT residue share (100/560) = 1.429 Mt green-equivalent. Some residues are useful co-products/energy feedstocks, so 'Waste/Losses' does not mean all is disposed.</x:v>
      </x:c>
      <x:c r="Z40" s="18" t="str"/>
      <x:c r="AA40" s="18" t="str">
        <x:v>low</x:v>
      </x:c>
      <x:c r="AB40" s="18" t="str">
        <x:v>2026-07-24</x:v>
      </x:c>
      <x:c r="AC40" s="18" t="str"/>
      <x:c r="AD40" s="18" t="str"/>
      <x:c r="AE40" s="20" t="n">
        <x:v>1.429</x:v>
      </x:c>
      <x:c r="AF40" s="18" t="str">
        <x:v>https://www.forestresearch.gov.uk/tools-and-resources/statistics/publications/forestry-statistics/forestry-statistics-2025/2025-2-uk-grown-timber/ | MIT test dataset wood relationship</x:v>
      </x:c>
      <x:c r="AG40" s="18" t="str">
        <x:v>Wood-processing residues estimate</x:v>
      </x:c>
      <x:c r="AH40" s="18" t="str">
        <x:v>An estimate of wood-processing residues based on a global processing-yield relationship.</x:v>
      </x:c>
      <x:c r="AI40" s="18" t="str">
        <x:v>Wood can be renewable when harvesting remains within forest regeneration and protects soils and habitats. Drying, processing, adhesives and transport still create impacts, and green-tonne figures do not describe forest condition.</x:v>
      </x:c>
      <x:c r="AJ40" s="18" t="str">
        <x:v>Recovery unspecified</x:v>
      </x:c>
      <x:c r="AK40" s="18" t="str">
        <x:v>1.429 Mt green-equivalent residues | Estimate | UK, 2024</x:v>
      </x:c>
      <x:c r="AL40" s="18" t="str">
        <x:v>Forest Research + MIT global Sankey wood-yield relationship (data: 2024)</x:v>
      </x:c>
    </x:row>
    <x:row r="41">
      <x:c r="A41" s="18" t="str">
        <x:v>UK-WOOD-005</x:v>
      </x:c>
      <x:c r="B41" s="18" t="str">
        <x:v>Fabrication / Manufacture</x:v>
      </x:c>
      <x:c r="C41" s="18" t="str">
        <x:v>Use / Consumption</x:v>
      </x:c>
      <x:c r="D41" s="18" t="str"/>
      <x:c r="E41" s="18" t="str"/>
      <x:c r="F41" s="18" t="str">
        <x:v>Wood to construction estimate</x:v>
      </x:c>
      <x:c r="G41" s="18" t="str">
        <x:v>Material</x:v>
      </x:c>
      <x:c r="H41" s="20" t="str"/>
      <x:c r="I41" s="18" t="str">
        <x:v>Mt green-equivalent</x:v>
      </x:c>
      <x:c r="J41" s="18" t="str">
        <x:v>2024</x:v>
      </x:c>
      <x:c r="K41" s="18" t="str">
        <x:v>UK</x:v>
      </x:c>
      <x:c r="L41" s="18" t="str">
        <x:v>designer_estimate_mit_scaled</x:v>
      </x:c>
      <x:c r="M41" s="18" t="str">
        <x:v>true</x:v>
      </x:c>
      <x:c r="N41" s="18" t="str">
        <x:v>false</x:v>
      </x:c>
      <x:c r="O41" s="18" t="str">
        <x:v>drilldown</x:v>
      </x:c>
      <x:c r="P41" s="18" t="str">
        <x:v>wood_use_split</x:v>
      </x:c>
      <x:c r="Q41" s="18" t="str">
        <x:v>Built Structures</x:v>
      </x:c>
      <x:c r="R41" s="18" t="str"/>
      <x:c r="S41" s="18" t="str">
        <x:v>uk_roundwood_2024_estimate</x:v>
      </x:c>
      <x:c r="T41" s="18" t="str">
        <x:v>constituent_drilldown</x:v>
      </x:c>
      <x:c r="U41" s="18" t="str">
        <x:v>FORESTRY_STATS+MIT_GLOBAL</x:v>
      </x:c>
      <x:c r="V41" s="18" t="str">
        <x:v>Forest Research + MIT global Sankey allocation</x:v>
      </x:c>
      <x:c r="W41" s="18" t="str">
        <x:v>https://www.forestresearch.gov.uk/tools-and-resources/statistics/publications/forestry-statistics/forestry-statistics-2025/2025-2-uk-grown-timber/</x:v>
      </x:c>
      <x:c r="X41" s="18" t="str"/>
      <x:c r="Y41" s="18" t="str">
        <x:v>Estimate = 8.0 × MIT construction share (110/560) = 1.571 Mt green-equivalent.</x:v>
      </x:c>
      <x:c r="Z41" s="18" t="str"/>
      <x:c r="AA41" s="18" t="str">
        <x:v>low</x:v>
      </x:c>
      <x:c r="AB41" s="18" t="str">
        <x:v>2026-07-24</x:v>
      </x:c>
      <x:c r="AC41" s="18" t="str"/>
      <x:c r="AD41" s="18" t="str"/>
      <x:c r="AE41" s="20" t="n">
        <x:v>1.571</x:v>
      </x:c>
      <x:c r="AF41" s="18" t="str">
        <x:v>https://www.forestresearch.gov.uk/tools-and-resources/statistics/publications/forestry-statistics/forestry-statistics-2025/2025-2-uk-grown-timber/ | MIT test dataset wood relationship</x:v>
      </x:c>
      <x:c r="AG41" s="18" t="str">
        <x:v>Wood to construction estimate</x:v>
      </x:c>
      <x:c r="AH41" s="18" t="str">
        <x:v>An estimated share of UK material-use roundwood allocated to construction products.</x:v>
      </x:c>
      <x:c r="AI41" s="18" t="str">
        <x:v>Long-lived wood products can store biogenic carbon temporarily, but benefits depend on forest renewal, product life, treatment chemicals and the material displaced.</x:v>
      </x:c>
      <x:c r="AJ41" s="18" t="str">
        <x:v>Not applicable</x:v>
      </x:c>
      <x:c r="AK41" s="18" t="str">
        <x:v>1.571 Mt green-equivalent wood | Construction estimate | 2024</x:v>
      </x:c>
      <x:c r="AL41" s="18" t="str">
        <x:v>Forest Research + MIT global Sankey allocation (data: 2024)</x:v>
      </x:c>
    </x:row>
    <x:row r="42">
      <x:c r="A42" s="18" t="str">
        <x:v>UK-WOOD-006</x:v>
      </x:c>
      <x:c r="B42" s="18" t="str">
        <x:v>Fabrication / Manufacture</x:v>
      </x:c>
      <x:c r="C42" s="18" t="str">
        <x:v>Use / Consumption</x:v>
      </x:c>
      <x:c r="D42" s="18" t="str"/>
      <x:c r="E42" s="18" t="str"/>
      <x:c r="F42" s="18" t="str">
        <x:v>Wood to furniture / other products estimate</x:v>
      </x:c>
      <x:c r="G42" s="18" t="str">
        <x:v>Material</x:v>
      </x:c>
      <x:c r="H42" s="20" t="str"/>
      <x:c r="I42" s="18" t="str">
        <x:v>Mt green-equivalent</x:v>
      </x:c>
      <x:c r="J42" s="18" t="str">
        <x:v>2024</x:v>
      </x:c>
      <x:c r="K42" s="18" t="str">
        <x:v>UK</x:v>
      </x:c>
      <x:c r="L42" s="18" t="str">
        <x:v>designer_estimate_mit_scaled</x:v>
      </x:c>
      <x:c r="M42" s="18" t="str">
        <x:v>true</x:v>
      </x:c>
      <x:c r="N42" s="18" t="str">
        <x:v>false</x:v>
      </x:c>
      <x:c r="O42" s="18" t="str">
        <x:v>drilldown</x:v>
      </x:c>
      <x:c r="P42" s="18" t="str">
        <x:v>wood_use_split</x:v>
      </x:c>
      <x:c r="Q42" s="18" t="str">
        <x:v>Furniture / Other Wood Products</x:v>
      </x:c>
      <x:c r="R42" s="18" t="str"/>
      <x:c r="S42" s="18" t="str">
        <x:v>uk_roundwood_2024_estimate</x:v>
      </x:c>
      <x:c r="T42" s="18" t="str">
        <x:v>constituent_drilldown</x:v>
      </x:c>
      <x:c r="U42" s="18" t="str">
        <x:v>FORESTRY_STATS+MIT_GLOBAL</x:v>
      </x:c>
      <x:c r="V42" s="18" t="str">
        <x:v>Forest Research + MIT global Sankey allocation</x:v>
      </x:c>
      <x:c r="W42" s="18" t="str">
        <x:v>https://www.forestresearch.gov.uk/tools-and-resources/statistics/publications/forestry-statistics/forestry-statistics-2025/2025-2-uk-grown-timber/</x:v>
      </x:c>
      <x:c r="X42" s="18" t="str"/>
      <x:c r="Y42" s="18" t="str">
        <x:v>Estimate = 8.0 × MIT furniture/other share (350/560) = 5.000 Mt green-equivalent.</x:v>
      </x:c>
      <x:c r="Z42" s="18" t="str"/>
      <x:c r="AA42" s="18" t="str">
        <x:v>low</x:v>
      </x:c>
      <x:c r="AB42" s="18" t="str">
        <x:v>2026-07-24</x:v>
      </x:c>
      <x:c r="AC42" s="18" t="str"/>
      <x:c r="AD42" s="18" t="str"/>
      <x:c r="AE42" s="20" t="n">
        <x:v>5</x:v>
      </x:c>
      <x:c r="AF42" s="18" t="str">
        <x:v>https://www.forestresearch.gov.uk/tools-and-resources/statistics/publications/forestry-statistics/forestry-statistics-2025/2025-2-uk-grown-timber/ | MIT test dataset wood relationship</x:v>
      </x:c>
      <x:c r="AG42" s="18" t="str">
        <x:v>Wood to furniture / other products estimate</x:v>
      </x:c>
      <x:c r="AH42" s="18" t="str">
        <x:v>An estimated share of UK material-use roundwood allocated to furniture and other wood products.</x:v>
      </x:c>
      <x:c r="AI42" s="18" t="str">
        <x:v>Long-lived wood products can store biogenic carbon temporarily, but benefits depend on forest renewal, product life, treatment chemicals and the material displaced.</x:v>
      </x:c>
      <x:c r="AJ42" s="18" t="str">
        <x:v>Not applicable</x:v>
      </x:c>
      <x:c r="AK42" s="18" t="str">
        <x:v>5 Mt green-equivalent wood | Furniture and other products estimate | 2024</x:v>
      </x:c>
      <x:c r="AL42" s="18" t="str">
        <x:v>Forest Research + MIT global Sankey allocation (data: 2024)</x:v>
      </x:c>
    </x:row>
    <x:row r="43">
      <x:c r="A43" s="18" t="str">
        <x:v>UK-WOOD-D001</x:v>
      </x:c>
      <x:c r="B43" s="18" t="str">
        <x:v>Extraction</x:v>
      </x:c>
      <x:c r="C43" s="18" t="str">
        <x:v>Material Processing</x:v>
      </x:c>
      <x:c r="D43" s="18" t="str"/>
      <x:c r="E43" s="18" t="str"/>
      <x:c r="F43" s="18" t="str">
        <x:v>Roundwood to sawmills</x:v>
      </x:c>
      <x:c r="G43" s="18" t="str">
        <x:v>Material</x:v>
      </x:c>
      <x:c r="H43" s="20" t="n">
        <x:v>5.5</x:v>
      </x:c>
      <x:c r="I43" s="18" t="str">
        <x:v>Mt green</x:v>
      </x:c>
      <x:c r="J43" s="18" t="str">
        <x:v>2024</x:v>
      </x:c>
      <x:c r="K43" s="18" t="str">
        <x:v>UK</x:v>
      </x:c>
      <x:c r="L43" s="18" t="str">
        <x:v>source_supported</x:v>
      </x:c>
      <x:c r="M43" s="18" t="str">
        <x:v>true</x:v>
      </x:c>
      <x:c r="N43" s="18" t="str">
        <x:v>false</x:v>
      </x:c>
      <x:c r="O43" s="18" t="str">
        <x:v>drilldown</x:v>
      </x:c>
      <x:c r="P43" s="18" t="str">
        <x:v>wood_processors</x:v>
      </x:c>
      <x:c r="Q43" s="18" t="str">
        <x:v>Sawnwood</x:v>
      </x:c>
      <x:c r="R43" s="18" t="str"/>
      <x:c r="S43" s="18" t="str">
        <x:v>uk_roundwood_2024</x:v>
      </x:c>
      <x:c r="T43" s="18" t="str">
        <x:v>constituent_drilldown</x:v>
      </x:c>
      <x:c r="U43" s="18" t="str">
        <x:v>FORESTRY_STATS_2025</x:v>
      </x:c>
      <x:c r="V43" s="18" t="str">
        <x:v>Forest Research — Forestry Statistics 2025</x:v>
      </x:c>
      <x:c r="W43" s="18" t="str">
        <x:v>https://www.forestresearch.gov.uk/tools-and-resources/statistics/publications/forestry-statistics/forestry-statistics-2025/2025-2-uk-grown-timber/</x:v>
      </x:c>
      <x:c r="X43" s="18" t="str">
        <x:v>5.5 Mt green to sawmills</x:v>
      </x:c>
      <x:c r="Y43" s="18" t="str"/>
      <x:c r="Z43" s="18" t="str"/>
      <x:c r="AA43" s="18" t="str">
        <x:v>high</x:v>
      </x:c>
      <x:c r="AB43" s="18" t="str">
        <x:v>2026-07-24</x:v>
      </x:c>
      <x:c r="AC43" s="18" t="str"/>
      <x:c r="AD43" s="18" t="str"/>
      <x:c r="AE43" s="20" t="str"/>
      <x:c r="AF43" s="18" t="str"/>
      <x:c r="AG43" s="18" t="str">
        <x:v>Roundwood to sawmills</x:v>
      </x:c>
      <x:c r="AH43" s="18" t="str">
        <x:v>The reported mass of UK-grown roundwood delivered to sawmills.</x:v>
      </x:c>
      <x:c r="AI43" s="18" t="str">
        <x:v>The ecological effect depends on forest management, yield, processing energy and how residues are used. The quantity alone does not establish sustainable forestry.</x:v>
      </x:c>
      <x:c r="AJ43" s="18" t="str">
        <x:v>Not applicable</x:v>
      </x:c>
      <x:c r="AK43" s="18" t="str">
        <x:v>5.5 Mt green roundwood | Sawmills | UK, 2024</x:v>
      </x:c>
      <x:c r="AL43" s="18" t="str">
        <x:v>Forest Research — Forestry Statistics 2025 (data: 2024)</x:v>
      </x:c>
    </x:row>
    <x:row r="44">
      <x:c r="A44" s="18" t="str">
        <x:v>UK-WOOD-D002</x:v>
      </x:c>
      <x:c r="B44" s="18" t="str">
        <x:v>Extraction</x:v>
      </x:c>
      <x:c r="C44" s="18" t="str">
        <x:v>Material Processing</x:v>
      </x:c>
      <x:c r="D44" s="18" t="str"/>
      <x:c r="E44" s="18" t="str"/>
      <x:c r="F44" s="18" t="str">
        <x:v>Roundwood to wood-based panels</x:v>
      </x:c>
      <x:c r="G44" s="18" t="str">
        <x:v>Material</x:v>
      </x:c>
      <x:c r="H44" s="20" t="n">
        <x:v>1.3</x:v>
      </x:c>
      <x:c r="I44" s="18" t="str">
        <x:v>Mt green</x:v>
      </x:c>
      <x:c r="J44" s="18" t="str">
        <x:v>2024</x:v>
      </x:c>
      <x:c r="K44" s="18" t="str">
        <x:v>UK</x:v>
      </x:c>
      <x:c r="L44" s="18" t="str">
        <x:v>source_supported</x:v>
      </x:c>
      <x:c r="M44" s="18" t="str">
        <x:v>true</x:v>
      </x:c>
      <x:c r="N44" s="18" t="str">
        <x:v>false</x:v>
      </x:c>
      <x:c r="O44" s="18" t="str">
        <x:v>drilldown</x:v>
      </x:c>
      <x:c r="P44" s="18" t="str">
        <x:v>wood_processors</x:v>
      </x:c>
      <x:c r="Q44" s="18" t="str">
        <x:v>Wood-based Panels</x:v>
      </x:c>
      <x:c r="R44" s="18" t="str"/>
      <x:c r="S44" s="18" t="str">
        <x:v>uk_roundwood_2024</x:v>
      </x:c>
      <x:c r="T44" s="18" t="str">
        <x:v>constituent_drilldown</x:v>
      </x:c>
      <x:c r="U44" s="18" t="str">
        <x:v>FORESTRY_STATS_2025</x:v>
      </x:c>
      <x:c r="V44" s="18" t="str">
        <x:v>Forest Research — Forestry Statistics 2025</x:v>
      </x:c>
      <x:c r="W44" s="18" t="str">
        <x:v>https://www.forestresearch.gov.uk/tools-and-resources/statistics/publications/forestry-statistics/forestry-statistics-2025/2025-2-uk-grown-timber/</x:v>
      </x:c>
      <x:c r="X44" s="18" t="str">
        <x:v>1.3 Mt green to wood-based panels</x:v>
      </x:c>
      <x:c r="Y44" s="18" t="str"/>
      <x:c r="Z44" s="18" t="str"/>
      <x:c r="AA44" s="18" t="str">
        <x:v>high</x:v>
      </x:c>
      <x:c r="AB44" s="18" t="str">
        <x:v>2026-07-24</x:v>
      </x:c>
      <x:c r="AC44" s="18" t="str"/>
      <x:c r="AD44" s="18" t="str"/>
      <x:c r="AE44" s="20" t="str"/>
      <x:c r="AF44" s="18" t="str"/>
      <x:c r="AG44" s="18" t="str">
        <x:v>Roundwood to wood-based panels</x:v>
      </x:c>
      <x:c r="AH44" s="18" t="str">
        <x:v>The reported mass of UK-grown roundwood delivered to wood-based-panel production.</x:v>
      </x:c>
      <x:c r="AI44" s="18" t="str">
        <x:v>The ecological effect depends on forest management, yield, processing energy and how residues are used. The quantity alone does not establish sustainable forestry.</x:v>
      </x:c>
      <x:c r="AJ44" s="18" t="str">
        <x:v>Not applicable</x:v>
      </x:c>
      <x:c r="AK44" s="18" t="str">
        <x:v>1.3 Mt green roundwood | Panel production | UK, 2024</x:v>
      </x:c>
      <x:c r="AL44" s="18" t="str">
        <x:v>Forest Research — Forestry Statistics 2025 (data: 2024)</x:v>
      </x:c>
    </x:row>
    <x:row r="45">
      <x:c r="A45" s="18" t="str">
        <x:v>UK-WOOD-D003</x:v>
      </x:c>
      <x:c r="B45" s="18" t="str">
        <x:v>Extraction</x:v>
      </x:c>
      <x:c r="C45" s="18" t="str">
        <x:v>Material Processing</x:v>
      </x:c>
      <x:c r="D45" s="18" t="str"/>
      <x:c r="E45" s="18" t="str"/>
      <x:c r="F45" s="18" t="str">
        <x:v>Roundwood to integrated pulp &amp; paper</x:v>
      </x:c>
      <x:c r="G45" s="18" t="str">
        <x:v>Material</x:v>
      </x:c>
      <x:c r="H45" s="20" t="n">
        <x:v>0.4</x:v>
      </x:c>
      <x:c r="I45" s="18" t="str">
        <x:v>Mt green</x:v>
      </x:c>
      <x:c r="J45" s="18" t="str">
        <x:v>2024</x:v>
      </x:c>
      <x:c r="K45" s="18" t="str">
        <x:v>UK</x:v>
      </x:c>
      <x:c r="L45" s="18" t="str">
        <x:v>source_supported</x:v>
      </x:c>
      <x:c r="M45" s="18" t="str">
        <x:v>true</x:v>
      </x:c>
      <x:c r="N45" s="18" t="str">
        <x:v>false</x:v>
      </x:c>
      <x:c r="O45" s="18" t="str">
        <x:v>drilldown</x:v>
      </x:c>
      <x:c r="P45" s="18" t="str">
        <x:v>wood_processors</x:v>
      </x:c>
      <x:c r="Q45" s="18" t="str">
        <x:v>Paper / Paperboard</x:v>
      </x:c>
      <x:c r="R45" s="18" t="str"/>
      <x:c r="S45" s="18" t="str">
        <x:v>uk_roundwood_2024</x:v>
      </x:c>
      <x:c r="T45" s="18" t="str">
        <x:v>constituent_drilldown</x:v>
      </x:c>
      <x:c r="U45" s="18" t="str">
        <x:v>FORESTRY_STATS_2025</x:v>
      </x:c>
      <x:c r="V45" s="18" t="str">
        <x:v>Forest Research — Forestry Statistics 2025</x:v>
      </x:c>
      <x:c r="W45" s="18" t="str">
        <x:v>https://www.forestresearch.gov.uk/tools-and-resources/statistics/publications/forestry-statistics/forestry-statistics-2025/2025-2-uk-grown-timber/</x:v>
      </x:c>
      <x:c r="X45" s="18" t="str">
        <x:v>0.4 Mt green to integrated pulp and paper</x:v>
      </x:c>
      <x:c r="Y45" s="18" t="str"/>
      <x:c r="Z45" s="18" t="str"/>
      <x:c r="AA45" s="18" t="str">
        <x:v>high</x:v>
      </x:c>
      <x:c r="AB45" s="18" t="str">
        <x:v>2026-07-24</x:v>
      </x:c>
      <x:c r="AC45" s="18" t="str"/>
      <x:c r="AD45" s="18" t="str"/>
      <x:c r="AE45" s="20" t="str"/>
      <x:c r="AF45" s="18" t="str"/>
      <x:c r="AG45" s="18" t="str">
        <x:v>Roundwood to integrated pulp &amp; paper</x:v>
      </x:c>
      <x:c r="AH45" s="18" t="str">
        <x:v>The reported mass of UK-grown roundwood delivered to integrated pulp and paper mills.</x:v>
      </x:c>
      <x:c r="AI45" s="18" t="str">
        <x:v>The ecological effect depends on forest management, yield, processing energy and how residues are used. The quantity alone does not establish sustainable forestry.</x:v>
      </x:c>
      <x:c r="AJ45" s="18" t="str">
        <x:v>Not applicable</x:v>
      </x:c>
      <x:c r="AK45" s="18" t="str">
        <x:v>0.4 Mt green roundwood | Pulp and paper | UK, 2024</x:v>
      </x:c>
      <x:c r="AL45" s="18" t="str">
        <x:v>Forest Research — Forestry Statistics 2025 (data: 2024)</x:v>
      </x:c>
    </x:row>
    <x:row r="46">
      <x:c r="A46" s="18" t="str">
        <x:v>UK-GLASS-001</x:v>
      </x:c>
      <x:c r="B46" s="18" t="str">
        <x:v>Material Processing</x:v>
      </x:c>
      <x:c r="C46" s="18" t="str">
        <x:v>Fabrication / Manufacture</x:v>
      </x:c>
      <x:c r="D46" s="18" t="str"/>
      <x:c r="E46" s="18" t="str"/>
      <x:c r="F46" s="18" t="str">
        <x:v>Molten glass produced</x:v>
      </x:c>
      <x:c r="G46" s="18" t="str">
        <x:v>Material</x:v>
      </x:c>
      <x:c r="H46" s="20" t="n">
        <x:v>3.5</x:v>
      </x:c>
      <x:c r="I46" s="18" t="str">
        <x:v>Mt</x:v>
      </x:c>
      <x:c r="J46" s="18" t="str">
        <x:v>current sector estimate</x:v>
      </x:c>
      <x:c r="K46" s="18" t="str">
        <x:v>UK</x:v>
      </x:c>
      <x:c r="L46" s="18" t="str">
        <x:v>source_supported_approximate</x:v>
      </x:c>
      <x:c r="M46" s="18" t="str">
        <x:v>true</x:v>
      </x:c>
      <x:c r="N46" s="18" t="str">
        <x:v>false</x:v>
      </x:c>
      <x:c r="O46" s="18" t="str">
        <x:v>primary</x:v>
      </x:c>
      <x:c r="P46" s="18" t="str">
        <x:v>glass</x:v>
      </x:c>
      <x:c r="Q46" s="18" t="str">
        <x:v>Glass Products</x:v>
      </x:c>
      <x:c r="R46" s="18" t="str"/>
      <x:c r="S46" s="18" t="str">
        <x:v>uk_glass_sector_current</x:v>
      </x:c>
      <x:c r="T46" s="18" t="str">
        <x:v>selected_evidence_stream</x:v>
      </x:c>
      <x:c r="U46" s="18" t="str">
        <x:v>DESNZ_GLASS_ELECTRIFICATION</x:v>
      </x:c>
      <x:c r="V46" s="18" t="str">
        <x:v>DESNZ — Future opportunities for electrification to decarbonise UK industry</x:v>
      </x:c>
      <x:c r="W46" s="18" t="str">
        <x:v>https://assets.publishing.service.gov.uk/media/67295df0541e1dfbf71e8b50/future-opportunities-for-electrification-to-decarbonise-uk-industry.pdf</x:v>
      </x:c>
      <x:c r="X46" s="18" t="str">
        <x:v>UK glass industry produces 3.5 Mt molten glass/year</x:v>
      </x:c>
      <x:c r="Y46" s="18" t="str"/>
      <x:c r="Z46" s="18" t="str"/>
      <x:c r="AA46" s="18" t="str">
        <x:v>high</x:v>
      </x:c>
      <x:c r="AB46" s="18" t="str">
        <x:v>2026-07-24</x:v>
      </x:c>
      <x:c r="AC46" s="18" t="str"/>
      <x:c r="AD46" s="18" t="str"/>
      <x:c r="AE46" s="20" t="str"/>
      <x:c r="AF46" s="18" t="str"/>
      <x:c r="AG46" s="18" t="str">
        <x:v>Molten glass produced</x:v>
      </x:c>
      <x:c r="AH46" s="18" t="str">
        <x:v>The approximate annual mass of molten glass produced by the UK glass industry.</x:v>
      </x:c>
      <x:c r="AI46" s="18" t="str">
        <x:v>Glass production requires mineral inputs and high-temperature heat. Reuse and high-quality recycling can reduce raw-material and furnace demand, while downcycling retains less functional value.</x:v>
      </x:c>
      <x:c r="AJ46" s="18" t="str">
        <x:v>Not applicable</x:v>
      </x:c>
      <x:c r="AK46" s="18" t="str">
        <x:v>3.5 Mt molten glass | UK sector estimate</x:v>
      </x:c>
      <x:c r="AL46" s="18" t="str">
        <x:v>DESNZ — Future opportunities for electrification to decarbonise UK industry (data period: current sector estimate; checked: 2026-07-24)</x:v>
      </x:c>
    </x:row>
    <x:row r="47">
      <x:c r="A47" s="18" t="str">
        <x:v>UK-GLASS-002</x:v>
      </x:c>
      <x:c r="B47" s="18" t="str">
        <x:v>Fabrication / Manufacture</x:v>
      </x:c>
      <x:c r="C47" s="18" t="str">
        <x:v>Use / Consumption</x:v>
      </x:c>
      <x:c r="D47" s="18" t="str"/>
      <x:c r="E47" s="18" t="str"/>
      <x:c r="F47" s="18" t="str">
        <x:v>Container glass estimate</x:v>
      </x:c>
      <x:c r="G47" s="18" t="str">
        <x:v>Material</x:v>
      </x:c>
      <x:c r="H47" s="20" t="str"/>
      <x:c r="I47" s="18" t="str">
        <x:v>Mt</x:v>
      </x:c>
      <x:c r="J47" s="18" t="str">
        <x:v>current sector estimate</x:v>
      </x:c>
      <x:c r="K47" s="18" t="str">
        <x:v>UK</x:v>
      </x:c>
      <x:c r="L47" s="18" t="str">
        <x:v>derived_from_source_supported</x:v>
      </x:c>
      <x:c r="M47" s="18" t="str">
        <x:v>true</x:v>
      </x:c>
      <x:c r="N47" s="18" t="str">
        <x:v>false</x:v>
      </x:c>
      <x:c r="O47" s="18" t="str">
        <x:v>drilldown</x:v>
      </x:c>
      <x:c r="P47" s="18" t="str">
        <x:v>glass_use_split</x:v>
      </x:c>
      <x:c r="Q47" s="18" t="str">
        <x:v>Container Glass</x:v>
      </x:c>
      <x:c r="R47" s="18" t="str"/>
      <x:c r="S47" s="18" t="str">
        <x:v>uk_glass_sector_current</x:v>
      </x:c>
      <x:c r="T47" s="18" t="str">
        <x:v>constituent_drilldown</x:v>
      </x:c>
      <x:c r="U47" s="18" t="str">
        <x:v>DESNZ_GLASS_ELECTRIFICATION</x:v>
      </x:c>
      <x:c r="V47" s="18" t="str">
        <x:v>DESNZ glass sector report</x:v>
      </x:c>
      <x:c r="W47" s="18" t="str">
        <x:v>https://assets.publishing.service.gov.uk/media/67295df0541e1dfbf71e8b50/future-opportunities-for-electrification-to-decarbonise-uk-industry.pdf</x:v>
      </x:c>
      <x:c r="X47" s="18" t="str"/>
      <x:c r="Y47" s="18" t="str">
        <x:v>65% of 3.5 Mt = 2.275 Mt container glass.</x:v>
      </x:c>
      <x:c r="Z47" s="18" t="str"/>
      <x:c r="AA47" s="18" t="str">
        <x:v>medium-high</x:v>
      </x:c>
      <x:c r="AB47" s="18" t="str">
        <x:v>2026-07-24</x:v>
      </x:c>
      <x:c r="AC47" s="18" t="str"/>
      <x:c r="AD47" s="18" t="str"/>
      <x:c r="AE47" s="20" t="n">
        <x:v>2.275</x:v>
      </x:c>
      <x:c r="AF47" s="18" t="str">
        <x:v>https://assets.publishing.service.gov.uk/media/67295df0541e1dfbf71e8b50/future-opportunities-for-electrification-to-decarbonise-uk-industry.pdf</x:v>
      </x:c>
      <x:c r="AG47" s="18" t="str">
        <x:v>Container glass estimate</x:v>
      </x:c>
      <x:c r="AH47" s="18" t="str">
        <x:v>A derived estimate of the share of UK molten-glass output made into container glass.</x:v>
      </x:c>
      <x:c r="AI47" s="18" t="str">
        <x:v>The ecological impact depends on furnace energy, recycled-content levels, product lifespan and whether the glass can return to equivalent use.</x:v>
      </x:c>
      <x:c r="AJ47" s="18" t="str">
        <x:v>Not applicable</x:v>
      </x:c>
      <x:c r="AK47" s="18" t="str">
        <x:v>2.275 Mt container glass | Derived sector share | UK</x:v>
      </x:c>
      <x:c r="AL47" s="18" t="str">
        <x:v>DESNZ glass sector report (data period: current sector estimate; checked: 2026-07-24)</x:v>
      </x:c>
    </x:row>
    <x:row r="48">
      <x:c r="A48" s="18" t="str">
        <x:v>UK-GLASS-003</x:v>
      </x:c>
      <x:c r="B48" s="18" t="str">
        <x:v>Fabrication / Manufacture</x:v>
      </x:c>
      <x:c r="C48" s="18" t="str">
        <x:v>Use / Consumption</x:v>
      </x:c>
      <x:c r="D48" s="18" t="str"/>
      <x:c r="E48" s="18" t="str"/>
      <x:c r="F48" s="18" t="str">
        <x:v>Flat glass estimate</x:v>
      </x:c>
      <x:c r="G48" s="18" t="str">
        <x:v>Material</x:v>
      </x:c>
      <x:c r="H48" s="20" t="str"/>
      <x:c r="I48" s="18" t="str">
        <x:v>Mt</x:v>
      </x:c>
      <x:c r="J48" s="18" t="str">
        <x:v>current sector estimate</x:v>
      </x:c>
      <x:c r="K48" s="18" t="str">
        <x:v>UK</x:v>
      </x:c>
      <x:c r="L48" s="18" t="str">
        <x:v>derived_from_source_supported</x:v>
      </x:c>
      <x:c r="M48" s="18" t="str">
        <x:v>true</x:v>
      </x:c>
      <x:c r="N48" s="18" t="str">
        <x:v>false</x:v>
      </x:c>
      <x:c r="O48" s="18" t="str">
        <x:v>primary</x:v>
      </x:c>
      <x:c r="P48" s="18" t="str">
        <x:v>glass_use_split</x:v>
      </x:c>
      <x:c r="Q48" s="18" t="str">
        <x:v>Flat Glass / Buildings / Vehicles</x:v>
      </x:c>
      <x:c r="R48" s="18" t="str"/>
      <x:c r="S48" s="18" t="str">
        <x:v>uk_glass_sector_current</x:v>
      </x:c>
      <x:c r="T48" s="18" t="str">
        <x:v>constituent_drilldown</x:v>
      </x:c>
      <x:c r="U48" s="18" t="str">
        <x:v>DESNZ_GLASS_ELECTRIFICATION</x:v>
      </x:c>
      <x:c r="V48" s="18" t="str">
        <x:v>DESNZ glass sector report</x:v>
      </x:c>
      <x:c r="W48" s="18" t="str">
        <x:v>https://assets.publishing.service.gov.uk/media/67295df0541e1dfbf71e8b50/future-opportunities-for-electrification-to-decarbonise-uk-industry.pdf</x:v>
      </x:c>
      <x:c r="X48" s="18" t="str"/>
      <x:c r="Y48" s="18" t="str">
        <x:v>30% of 3.5 Mt = 1.05 Mt flat glass.</x:v>
      </x:c>
      <x:c r="Z48" s="18" t="str"/>
      <x:c r="AA48" s="18" t="str">
        <x:v>medium-high</x:v>
      </x:c>
      <x:c r="AB48" s="18" t="str">
        <x:v>2026-07-24</x:v>
      </x:c>
      <x:c r="AC48" s="18" t="str"/>
      <x:c r="AD48" s="18" t="str"/>
      <x:c r="AE48" s="20" t="n">
        <x:v>1.05</x:v>
      </x:c>
      <x:c r="AF48" s="18" t="str">
        <x:v>https://assets.publishing.service.gov.uk/media/67295df0541e1dfbf71e8b50/future-opportunities-for-electrification-to-decarbonise-uk-industry.pdf</x:v>
      </x:c>
      <x:c r="AG48" s="18" t="str">
        <x:v>Flat glass estimate</x:v>
      </x:c>
      <x:c r="AH48" s="18" t="str">
        <x:v>A derived estimate of the share of UK molten-glass output made into flat glass for buildings and vehicles.</x:v>
      </x:c>
      <x:c r="AI48" s="18" t="str">
        <x:v>The ecological impact depends on furnace energy, recycled-content levels, product lifespan and whether the glass can return to equivalent use.</x:v>
      </x:c>
      <x:c r="AJ48" s="18" t="str">
        <x:v>Not applicable</x:v>
      </x:c>
      <x:c r="AK48" s="18" t="str">
        <x:v>1.05 Mt flat glass | Derived sector share | UK</x:v>
      </x:c>
      <x:c r="AL48" s="18" t="str">
        <x:v>DESNZ glass sector report (data period: current sector estimate; checked: 2026-07-24)</x:v>
      </x:c>
    </x:row>
    <x:row r="49">
      <x:c r="A49" s="18" t="str">
        <x:v>UK-GLASS-004</x:v>
      </x:c>
      <x:c r="B49" s="18" t="str">
        <x:v>Use / Consumption</x:v>
      </x:c>
      <x:c r="C49" s="18" t="str">
        <x:v>End of Use</x:v>
      </x:c>
      <x:c r="D49" s="18" t="str"/>
      <x:c r="E49" s="18" t="str"/>
      <x:c r="F49" s="18" t="str">
        <x:v>End-of-life flat glass</x:v>
      </x:c>
      <x:c r="G49" s="18" t="str">
        <x:v>Material</x:v>
      </x:c>
      <x:c r="H49" s="20" t="n">
        <x:v>0.75</x:v>
      </x:c>
      <x:c r="I49" s="18" t="str">
        <x:v>Mt</x:v>
      </x:c>
      <x:c r="J49" s="18" t="str">
        <x:v>report estimate</x:v>
      </x:c>
      <x:c r="K49" s="18" t="str">
        <x:v>UK</x:v>
      </x:c>
      <x:c r="L49" s="18" t="str">
        <x:v>source_supported_approximate</x:v>
      </x:c>
      <x:c r="M49" s="18" t="str">
        <x:v>true</x:v>
      </x:c>
      <x:c r="N49" s="18" t="str">
        <x:v>false</x:v>
      </x:c>
      <x:c r="O49" s="18" t="str">
        <x:v>primary</x:v>
      </x:c>
      <x:c r="P49" s="18" t="str">
        <x:v>glass_end_of_use</x:v>
      </x:c>
      <x:c r="Q49" s="18" t="str">
        <x:v>Flat Glass</x:v>
      </x:c>
      <x:c r="R49" s="18" t="str">
        <x:v>true</x:v>
      </x:c>
      <x:c r="S49" s="18" t="str">
        <x:v>uk_flat_glass_eou</x:v>
      </x:c>
      <x:c r="T49" s="18" t="str">
        <x:v>end_of_use_stream</x:v>
      </x:c>
      <x:c r="U49" s="18" t="str">
        <x:v>DEFRA_GLASS_RESOURCE_EFFICIENCY</x:v>
      </x:c>
      <x:c r="V49" s="18" t="str">
        <x:v>Defra — Unlocking Resource Efficiency Phase 2 Glass Report</x:v>
      </x:c>
      <x:c r="W49" s="18" t="str">
        <x:v>https://assets.publishing.service.gov.uk/media/6620f15777a30aa0c4757dc0/unlocking-resource-efficiency-phase-2-glass-report.pdf</x:v>
      </x:c>
      <x:c r="X49" s="18" t="str">
        <x:v>~750,000 t end-of-life flat glass annually</x:v>
      </x:c>
      <x:c r="Y49" s="18" t="str"/>
      <x:c r="Z49" s="18" t="str"/>
      <x:c r="AA49" s="18" t="str">
        <x:v>high</x:v>
      </x:c>
      <x:c r="AB49" s="18" t="str">
        <x:v>2026-07-24</x:v>
      </x:c>
      <x:c r="AC49" s="18" t="str"/>
      <x:c r="AD49" s="18" t="str"/>
      <x:c r="AE49" s="20" t="str"/>
      <x:c r="AF49" s="18" t="str"/>
      <x:c r="AG49" s="18" t="str">
        <x:v>End-of-life flat glass</x:v>
      </x:c>
      <x:c r="AH49" s="18" t="str">
        <x:v>The approximate annual mass of flat glass reaching end of life in the UK.</x:v>
      </x:c>
      <x:c r="AI49" s="18" t="str">
        <x:v>Keeping glass out of landfill can retain material value, but collection and reprocessing require energy; downcycling may avoid disposal without restoring the original function.</x:v>
      </x:c>
      <x:c r="AJ49" s="18" t="str">
        <x:v>Not applicable</x:v>
      </x:c>
      <x:c r="AK49" s="18" t="str">
        <x:v>0.75 Mt end-of-life flat glass | UK report estimate</x:v>
      </x:c>
      <x:c r="AL49" s="18" t="str">
        <x:v>Defra — Unlocking Resource Efficiency Phase 2 Glass Report (data period: report estimate; checked: 2026-07-24)</x:v>
      </x:c>
    </x:row>
    <x:row r="50">
      <x:c r="A50" s="18" t="str">
        <x:v>UK-GLASS-005</x:v>
      </x:c>
      <x:c r="B50" s="18" t="str">
        <x:v>End of Use</x:v>
      </x:c>
      <x:c r="C50" s="18" t="str">
        <x:v>Landfill</x:v>
      </x:c>
      <x:c r="D50" s="18" t="str"/>
      <x:c r="E50" s="18" t="str"/>
      <x:c r="F50" s="18" t="str">
        <x:v>Flat glass landfilled</x:v>
      </x:c>
      <x:c r="G50" s="18" t="str">
        <x:v>Material</x:v>
      </x:c>
      <x:c r="H50" s="20" t="n">
        <x:v>0.5</x:v>
      </x:c>
      <x:c r="I50" s="18" t="str">
        <x:v>Mt</x:v>
      </x:c>
      <x:c r="J50" s="18" t="str">
        <x:v>report estimate</x:v>
      </x:c>
      <x:c r="K50" s="18" t="str">
        <x:v>UK</x:v>
      </x:c>
      <x:c r="L50" s="18" t="str">
        <x:v>source_supported_approximate</x:v>
      </x:c>
      <x:c r="M50" s="18" t="str">
        <x:v>true</x:v>
      </x:c>
      <x:c r="N50" s="18" t="str">
        <x:v>false</x:v>
      </x:c>
      <x:c r="O50" s="18" t="str">
        <x:v>secondary</x:v>
      </x:c>
      <x:c r="P50" s="18" t="str">
        <x:v>glass_end_of_use</x:v>
      </x:c>
      <x:c r="Q50" s="18" t="str">
        <x:v>Flat Glass</x:v>
      </x:c>
      <x:c r="R50" s="18" t="str"/>
      <x:c r="S50" s="18" t="str">
        <x:v>uk_flat_glass_eou</x:v>
      </x:c>
      <x:c r="T50" s="18" t="str">
        <x:v>terminal_flow</x:v>
      </x:c>
      <x:c r="U50" s="18" t="str">
        <x:v>DEFRA_GLASS_RESOURCE_EFFICIENCY</x:v>
      </x:c>
      <x:c r="V50" s="18" t="str">
        <x:v>Defra — Unlocking Resource Efficiency Phase 2 Glass Report</x:v>
      </x:c>
      <x:c r="W50" s="18" t="str">
        <x:v>https://assets.publishing.service.gov.uk/media/6620f15777a30aa0c4757dc0/unlocking-resource-efficiency-phase-2-glass-report.pdf</x:v>
      </x:c>
      <x:c r="X50" s="18" t="str">
        <x:v>~500,000 t flat glass sent to landfill</x:v>
      </x:c>
      <x:c r="Y50" s="18" t="str"/>
      <x:c r="Z50" s="18" t="str"/>
      <x:c r="AA50" s="18" t="str">
        <x:v>high</x:v>
      </x:c>
      <x:c r="AB50" s="18" t="str">
        <x:v>2026-07-24</x:v>
      </x:c>
      <x:c r="AC50" s="18" t="str"/>
      <x:c r="AD50" s="18" t="str"/>
      <x:c r="AE50" s="20" t="str"/>
      <x:c r="AF50" s="18" t="str"/>
      <x:c r="AG50" s="18" t="str">
        <x:v>Flat glass landfilled</x:v>
      </x:c>
      <x:c r="AH50" s="18" t="str">
        <x:v>The approximate mass of end-of-life flat glass sent to landfill.</x:v>
      </x:c>
      <x:c r="AI50" s="18" t="str">
        <x:v>Keeping glass out of landfill can retain material value, but collection and reprocessing require energy; downcycling may avoid disposal without restoring the original function.</x:v>
      </x:c>
      <x:c r="AJ50" s="18" t="str">
        <x:v>Not applicable</x:v>
      </x:c>
      <x:c r="AK50" s="18" t="str">
        <x:v>0.5 Mt flat glass | Landfilled | UK report estimate</x:v>
      </x:c>
      <x:c r="AL50" s="18" t="str">
        <x:v>Defra — Unlocking Resource Efficiency Phase 2 Glass Report (data period: report estimate; checked: 2026-07-24)</x:v>
      </x:c>
    </x:row>
    <x:row r="51">
      <x:c r="A51" s="18" t="str">
        <x:v>UK-GLASS-006</x:v>
      </x:c>
      <x:c r="B51" s="18" t="str">
        <x:v>End of Use</x:v>
      </x:c>
      <x:c r="C51" s="18" t="str">
        <x:v>Material Processing</x:v>
      </x:c>
      <x:c r="D51" s="18" t="str"/>
      <x:c r="E51" s="18" t="str"/>
      <x:c r="F51" s="18" t="str">
        <x:v>Flat glass recycled/downcycled</x:v>
      </x:c>
      <x:c r="G51" s="18" t="str">
        <x:v>Material</x:v>
      </x:c>
      <x:c r="H51" s="20" t="n">
        <x:v>0.25</x:v>
      </x:c>
      <x:c r="I51" s="18" t="str">
        <x:v>Mt</x:v>
      </x:c>
      <x:c r="J51" s="18" t="str">
        <x:v>report estimate</x:v>
      </x:c>
      <x:c r="K51" s="18" t="str">
        <x:v>UK</x:v>
      </x:c>
      <x:c r="L51" s="18" t="str">
        <x:v>source_supported_approximate</x:v>
      </x:c>
      <x:c r="M51" s="18" t="str">
        <x:v>true</x:v>
      </x:c>
      <x:c r="N51" s="18" t="str">
        <x:v>false</x:v>
      </x:c>
      <x:c r="O51" s="18" t="str">
        <x:v>secondary</x:v>
      </x:c>
      <x:c r="P51" s="18" t="str">
        <x:v>glass_end_of_use</x:v>
      </x:c>
      <x:c r="Q51" s="18" t="str">
        <x:v>Flat Glass</x:v>
      </x:c>
      <x:c r="R51" s="18" t="str"/>
      <x:c r="S51" s="18" t="str">
        <x:v>uk_flat_glass_eou</x:v>
      </x:c>
      <x:c r="T51" s="18" t="str">
        <x:v>recycling_loop</x:v>
      </x:c>
      <x:c r="U51" s="18" t="str">
        <x:v>DEFRA_GLASS_RESOURCE_EFFICIENCY</x:v>
      </x:c>
      <x:c r="V51" s="18" t="str">
        <x:v>Defra — Unlocking Resource Efficiency Phase 2 Glass Report</x:v>
      </x:c>
      <x:c r="W51" s="18" t="str">
        <x:v>https://assets.publishing.service.gov.uk/media/6620f15777a30aa0c4757dc0/unlocking-resource-efficiency-phase-2-glass-report.pdf</x:v>
      </x:c>
      <x:c r="X51" s="18" t="str">
        <x:v>~250,000 t primarily recycled/downcycled as aggregate</x:v>
      </x:c>
      <x:c r="Y51" s="18" t="str">
        <x:v>Much is downcycled rather than closed-loop glass-to-glass recycling.</x:v>
      </x:c>
      <x:c r="Z51" s="18" t="str"/>
      <x:c r="AA51" s="18" t="str">
        <x:v>high</x:v>
      </x:c>
      <x:c r="AB51" s="18" t="str">
        <x:v>2026-07-24</x:v>
      </x:c>
      <x:c r="AC51" s="18" t="str"/>
      <x:c r="AD51" s="18" t="str"/>
      <x:c r="AE51" s="20" t="str"/>
      <x:c r="AF51" s="18" t="str"/>
      <x:c r="AG51" s="18" t="str">
        <x:v>Flat glass recycled/downcycled</x:v>
      </x:c>
      <x:c r="AH51" s="18" t="str">
        <x:v>Approximately 250,000 tonnes of end-of-life flat glass routed into recycling or lower-grade aggregate applications.</x:v>
      </x:c>
      <x:c r="AI51" s="18" t="str">
        <x:v>Keeping glass out of landfill can retain material value, but collection and reprocessing require energy; downcycling may avoid disposal without restoring the original function.</x:v>
      </x:c>
      <x:c r="AJ51" s="18" t="str">
        <x:v>Downcycling</x:v>
      </x:c>
      <x:c r="AK51" s="18" t="str">
        <x:v>0.25 Mt flat glass | Mostly downcycled as aggregate | UK report estimate</x:v>
      </x:c>
      <x:c r="AL51" s="18" t="str">
        <x:v>Defra — Unlocking Resource Efficiency Phase 2 Glass Report (data period: report estimate; checked: 2026-07-24)</x:v>
      </x:c>
    </x:row>
    <x:row r="52">
      <x:c r="A52" s="18" t="str">
        <x:v>UK-GLASS-ENE-001</x:v>
      </x:c>
      <x:c r="B52" s="18" t="str">
        <x:v>Energy</x:v>
      </x:c>
      <x:c r="C52" s="18" t="str">
        <x:v>Material Processing</x:v>
      </x:c>
      <x:c r="D52" s="18" t="str"/>
      <x:c r="E52" s="18" t="str"/>
      <x:c r="F52" s="18" t="str">
        <x:v>Glass-sector natural gas</x:v>
      </x:c>
      <x:c r="G52" s="18" t="str">
        <x:v>Energy</x:v>
      </x:c>
      <x:c r="H52" s="20" t="n">
        <x:v>6</x:v>
      </x:c>
      <x:c r="I52" s="18" t="str">
        <x:v>TWh</x:v>
      </x:c>
      <x:c r="J52" s="18" t="str">
        <x:v>report estimate</x:v>
      </x:c>
      <x:c r="K52" s="18" t="str">
        <x:v>UK</x:v>
      </x:c>
      <x:c r="L52" s="18" t="str">
        <x:v>source_supported_approximate</x:v>
      </x:c>
      <x:c r="M52" s="18" t="str">
        <x:v>true</x:v>
      </x:c>
      <x:c r="N52" s="18" t="str">
        <x:v>false</x:v>
      </x:c>
      <x:c r="O52" s="18" t="str">
        <x:v>drilldown</x:v>
      </x:c>
      <x:c r="P52" s="18" t="str">
        <x:v>glass_energy</x:v>
      </x:c>
      <x:c r="Q52" s="18" t="str">
        <x:v>Glass</x:v>
      </x:c>
      <x:c r="R52" s="18" t="str"/>
      <x:c r="S52" s="18" t="str">
        <x:v>uk_glass_energy</x:v>
      </x:c>
      <x:c r="T52" s="18" t="str">
        <x:v>sector_drilldown</x:v>
      </x:c>
      <x:c r="U52" s="18" t="str">
        <x:v>DESNZ_GLASS_ELECTRIFICATION</x:v>
      </x:c>
      <x:c r="V52" s="18" t="str">
        <x:v>DESNZ glass electrification report</x:v>
      </x:c>
      <x:c r="W52" s="18" t="str">
        <x:v>https://assets.publishing.service.gov.uk/media/67295df0541e1dfbf71e8b50/future-opportunities-for-electrification-to-decarbonise-uk-industry.pdf</x:v>
      </x:c>
      <x:c r="X52" s="18" t="str">
        <x:v>Around 6 TWh/year natural gas consumption</x:v>
      </x:c>
      <x:c r="Y52" s="18" t="str">
        <x:v>Separate TWh energy family; do not add directly to Mtoe ribbons unless converted consistently.</x:v>
      </x:c>
      <x:c r="Z52" s="18" t="str"/>
      <x:c r="AA52" s="18" t="str">
        <x:v>high</x:v>
      </x:c>
      <x:c r="AB52" s="18" t="str">
        <x:v>2026-07-24</x:v>
      </x:c>
      <x:c r="AC52" s="18" t="str"/>
      <x:c r="AD52" s="18" t="str"/>
      <x:c r="AE52" s="20" t="str"/>
      <x:c r="AF52" s="18" t="str"/>
      <x:c r="AG52" s="18" t="str">
        <x:v>Glass-sector natural gas</x:v>
      </x:c>
      <x:c r="AH52" s="18" t="str">
        <x:v>The approximate annual natural-gas demand of the UK glass sector.</x:v>
      </x:c>
      <x:c r="AI52" s="18" t="str">
        <x:v>The ecological impact is determined mainly by fuel source and furnace efficiency; natural gas produces direct emissions, while electricity impacts depend on generation mix.</x:v>
      </x:c>
      <x:c r="AJ52" s="18" t="str">
        <x:v>Not applicable</x:v>
      </x:c>
      <x:c r="AK52" s="18" t="str">
        <x:v>6 TWh natural gas | UK glass sector</x:v>
      </x:c>
      <x:c r="AL52" s="18" t="str">
        <x:v>DESNZ glass electrification report (data period: report estimate; checked: 2026-07-24)</x:v>
      </x:c>
    </x:row>
    <x:row r="53">
      <x:c r="A53" s="18" t="str">
        <x:v>UK-GLASS-ENE-002</x:v>
      </x:c>
      <x:c r="B53" s="18" t="str">
        <x:v>Energy</x:v>
      </x:c>
      <x:c r="C53" s="18" t="str">
        <x:v>Material Processing</x:v>
      </x:c>
      <x:c r="D53" s="18" t="str"/>
      <x:c r="E53" s="18" t="str"/>
      <x:c r="F53" s="18" t="str">
        <x:v>Glass-sector electricity</x:v>
      </x:c>
      <x:c r="G53" s="18" t="str">
        <x:v>Energy</x:v>
      </x:c>
      <x:c r="H53" s="20" t="n">
        <x:v>1</x:v>
      </x:c>
      <x:c r="I53" s="18" t="str">
        <x:v>TWh</x:v>
      </x:c>
      <x:c r="J53" s="18" t="str">
        <x:v>report estimate</x:v>
      </x:c>
      <x:c r="K53" s="18" t="str">
        <x:v>UK</x:v>
      </x:c>
      <x:c r="L53" s="18" t="str">
        <x:v>source_supported_approximate</x:v>
      </x:c>
      <x:c r="M53" s="18" t="str">
        <x:v>true</x:v>
      </x:c>
      <x:c r="N53" s="18" t="str">
        <x:v>false</x:v>
      </x:c>
      <x:c r="O53" s="18" t="str">
        <x:v>drilldown</x:v>
      </x:c>
      <x:c r="P53" s="18" t="str">
        <x:v>glass_energy</x:v>
      </x:c>
      <x:c r="Q53" s="18" t="str">
        <x:v>Glass</x:v>
      </x:c>
      <x:c r="R53" s="18" t="str"/>
      <x:c r="S53" s="18" t="str">
        <x:v>uk_glass_energy</x:v>
      </x:c>
      <x:c r="T53" s="18" t="str">
        <x:v>sector_drilldown</x:v>
      </x:c>
      <x:c r="U53" s="18" t="str">
        <x:v>DESNZ_GLASS_ELECTRIFICATION</x:v>
      </x:c>
      <x:c r="V53" s="18" t="str">
        <x:v>DESNZ glass electrification report</x:v>
      </x:c>
      <x:c r="W53" s="18" t="str">
        <x:v>https://assets.publishing.service.gov.uk/media/67295df0541e1dfbf71e8b50/future-opportunities-for-electrification-to-decarbonise-uk-industry.pdf</x:v>
      </x:c>
      <x:c r="X53" s="18" t="str">
        <x:v>Around 1 TWh/year electricity demand</x:v>
      </x:c>
      <x:c r="Y53" s="18" t="str"/>
      <x:c r="Z53" s="18" t="str"/>
      <x:c r="AA53" s="18" t="str">
        <x:v>high</x:v>
      </x:c>
      <x:c r="AB53" s="18" t="str">
        <x:v>2026-07-24</x:v>
      </x:c>
      <x:c r="AC53" s="18" t="str"/>
      <x:c r="AD53" s="18" t="str"/>
      <x:c r="AE53" s="20" t="str"/>
      <x:c r="AF53" s="18" t="str"/>
      <x:c r="AG53" s="18" t="str">
        <x:v>Glass-sector electricity</x:v>
      </x:c>
      <x:c r="AH53" s="18" t="str">
        <x:v>The approximate annual electricity demand of the UK glass sector.</x:v>
      </x:c>
      <x:c r="AI53" s="18" t="str">
        <x:v>The ecological impact is determined mainly by fuel source and furnace efficiency; natural gas produces direct emissions, while electricity impacts depend on generation mix.</x:v>
      </x:c>
      <x:c r="AJ53" s="18" t="str">
        <x:v>Not applicable</x:v>
      </x:c>
      <x:c r="AK53" s="18" t="str">
        <x:v>1 TWh electricity | UK glass sector</x:v>
      </x:c>
      <x:c r="AL53" s="18" t="str">
        <x:v>DESNZ glass electrification report (data period: report estimate; checked: 2026-07-24)</x:v>
      </x:c>
    </x:row>
    <x:row r="54">
      <x:c r="A54" s="18" t="str">
        <x:v>UK-GLASS-CO2-001</x:v>
      </x:c>
      <x:c r="B54" s="18" t="str">
        <x:v>Material Processing</x:v>
      </x:c>
      <x:c r="C54" s="18" t="str">
        <x:v>Atmospheric Emissions</x:v>
      </x:c>
      <x:c r="D54" s="18" t="str"/>
      <x:c r="E54" s="18" t="str"/>
      <x:c r="F54" s="18" t="str">
        <x:v>Glass manufacturing CO2</x:v>
      </x:c>
      <x:c r="G54" s="18" t="str">
        <x:v>Emissions</x:v>
      </x:c>
      <x:c r="H54" s="20" t="n">
        <x:v>1.3</x:v>
      </x:c>
      <x:c r="I54" s="18" t="str">
        <x:v>MtCO2</x:v>
      </x:c>
      <x:c r="J54" s="18" t="str">
        <x:v>report estimate</x:v>
      </x:c>
      <x:c r="K54" s="18" t="str">
        <x:v>UK</x:v>
      </x:c>
      <x:c r="L54" s="18" t="str">
        <x:v>source_supported_approximate</x:v>
      </x:c>
      <x:c r="M54" s="18" t="str">
        <x:v>true</x:v>
      </x:c>
      <x:c r="N54" s="18" t="str">
        <x:v>false</x:v>
      </x:c>
      <x:c r="O54" s="18" t="str">
        <x:v>drilldown</x:v>
      </x:c>
      <x:c r="P54" s="18" t="str">
        <x:v>glass_emissions</x:v>
      </x:c>
      <x:c r="Q54" s="18" t="str">
        <x:v>Glass</x:v>
      </x:c>
      <x:c r="R54" s="18" t="str"/>
      <x:c r="S54" s="18" t="str">
        <x:v>uk_glass_emissions</x:v>
      </x:c>
      <x:c r="T54" s="18" t="str">
        <x:v>sector_drilldown</x:v>
      </x:c>
      <x:c r="U54" s="18" t="str">
        <x:v>DESNZ_GLASS_ELECTRIFICATION</x:v>
      </x:c>
      <x:c r="V54" s="18" t="str">
        <x:v>DESNZ glass electrification report</x:v>
      </x:c>
      <x:c r="W54" s="18" t="str">
        <x:v>https://assets.publishing.service.gov.uk/media/67295df0541e1dfbf71e8b50/future-opportunities-for-electrification-to-decarbonise-uk-industry.pdf</x:v>
      </x:c>
      <x:c r="X54" s="18" t="str">
        <x:v>UK glass sector around 1.3 MtCO2/year</x:v>
      </x:c>
      <x:c r="Y54" s="18" t="str">
        <x:v>Do not add to an overview manufacturing-emissions estimate that already includes glass.</x:v>
      </x:c>
      <x:c r="Z54" s="18" t="str"/>
      <x:c r="AA54" s="18" t="str">
        <x:v>high</x:v>
      </x:c>
      <x:c r="AB54" s="18" t="str">
        <x:v>2026-07-24</x:v>
      </x:c>
      <x:c r="AC54" s="18" t="str"/>
      <x:c r="AD54" s="18" t="str"/>
      <x:c r="AE54" s="20" t="str"/>
      <x:c r="AF54" s="18" t="str"/>
      <x:c r="AG54" s="18" t="str">
        <x:v>Glass manufacturing CO₂</x:v>
      </x:c>
      <x:c r="AH54" s="18" t="str">
        <x:v>The approximate annual carbon-dioxide emissions attributed to UK glass manufacturing.</x:v>
      </x:c>
      <x:c r="AI54" s="18" t="str">
        <x:v>This is a direct climate-impact flow from glass manufacture; it does not include all upstream extraction, transport or downstream impacts.</x:v>
      </x:c>
      <x:c r="AJ54" s="18" t="str">
        <x:v>Not applicable</x:v>
      </x:c>
      <x:c r="AK54" s="18" t="str">
        <x:v>1.3 MtCO₂ | UK glass manufacturing</x:v>
      </x:c>
      <x:c r="AL54" s="18" t="str">
        <x:v>DESNZ glass electrification report (data period: report estimate; checked: 2026-07-24)</x:v>
      </x:c>
    </x:row>
    <x:row r="55">
      <x:c r="A55" s="18" t="str">
        <x:v>UK-PLAS-001</x:v>
      </x:c>
      <x:c r="B55" s="18" t="str">
        <x:v>Use / Consumption</x:v>
      </x:c>
      <x:c r="C55" s="18" t="str">
        <x:v>End of Use</x:v>
      </x:c>
      <x:c r="D55" s="18" t="str"/>
      <x:c r="E55" s="18" t="str"/>
      <x:c r="F55" s="18" t="str">
        <x:v>Plastic waste arisings — historical benchmark</x:v>
      </x:c>
      <x:c r="G55" s="18" t="str">
        <x:v>Material</x:v>
      </x:c>
      <x:c r="H55" s="20" t="n">
        <x:v>3.7</x:v>
      </x:c>
      <x:c r="I55" s="18" t="str">
        <x:v>Mt</x:v>
      </x:c>
      <x:c r="J55" s="18" t="str">
        <x:v>2019</x:v>
      </x:c>
      <x:c r="K55" s="18" t="str">
        <x:v>UK</x:v>
      </x:c>
      <x:c r="L55" s="18" t="str">
        <x:v>source_supported_estimate</x:v>
      </x:c>
      <x:c r="M55" s="18" t="str">
        <x:v>true</x:v>
      </x:c>
      <x:c r="N55" s="18" t="str">
        <x:v>false</x:v>
      </x:c>
      <x:c r="O55" s="18" t="str">
        <x:v>drilldown</x:v>
      </x:c>
      <x:c r="P55" s="18" t="str">
        <x:v>plastics</x:v>
      </x:c>
      <x:c r="Q55" s="18" t="str">
        <x:v>Plastic Products</x:v>
      </x:c>
      <x:c r="R55" s="18" t="str">
        <x:v>true</x:v>
      </x:c>
      <x:c r="S55" s="18" t="str">
        <x:v>uk_plastics_2019</x:v>
      </x:c>
      <x:c r="T55" s="18" t="str">
        <x:v>historical_benchmark</x:v>
      </x:c>
      <x:c r="U55" s="18" t="str">
        <x:v>WRAP_PLASTICS_2019</x:v>
      </x:c>
      <x:c r="V55" s="18" t="str">
        <x:v>WRAP Plastics Market Situation Report 2019</x:v>
      </x:c>
      <x:c r="W55" s="18" t="str">
        <x:v>https://www.wrap.ngo/resources/market-situation-reports/plastics-2019</x:v>
      </x:c>
      <x:c r="X55" s="18" t="str">
        <x:v>Overall UK plastics arisings around 3.7 Mt; packaging 2.2 Mt (59%), non-packaging 1.5 Mt</x:v>
      </x:c>
      <x:c r="Y55" s="18" t="str"/>
      <x:c r="Z55" s="18" t="str"/>
      <x:c r="AA55" s="18" t="str">
        <x:v>high</x:v>
      </x:c>
      <x:c r="AB55" s="18" t="str">
        <x:v>2026-07-24</x:v>
      </x:c>
      <x:c r="AC55" s="18" t="str"/>
      <x:c r="AD55" s="18" t="str"/>
      <x:c r="AE55" s="20" t="str"/>
      <x:c r="AF55" s="18" t="str"/>
      <x:c r="AG55" s="18" t="str">
        <x:v>Plastic waste arisings — historical benchmark</x:v>
      </x:c>
      <x:c r="AH55" s="18" t="str">
        <x:v>A historical estimate of total UK plastic-waste arisings, including packaging and non-packaging plastics.</x:v>
      </x:c>
      <x:c r="AI55" s="18" t="str">
        <x:v>Most conventional plastics rely on fossil feedstocks and can persist in the environment. Recycling can reduce some virgin production, but contamination, additives and quality loss limit repeated circulation.</x:v>
      </x:c>
      <x:c r="AJ55" s="18" t="str">
        <x:v>Not applicable</x:v>
      </x:c>
      <x:c r="AK55" s="18" t="str">
        <x:v>3.7 Mt plastic waste | Historical UK benchmark | 2019</x:v>
      </x:c>
      <x:c r="AL55" s="18" t="str">
        <x:v>WRAP Plastics Market Situation Report 2019 (data: 2019)</x:v>
      </x:c>
    </x:row>
    <x:row r="56">
      <x:c r="A56" s="18" t="str">
        <x:v>UK-PLAS-002</x:v>
      </x:c>
      <x:c r="B56" s="18" t="str">
        <x:v>Use / Consumption</x:v>
      </x:c>
      <x:c r="C56" s="18" t="str">
        <x:v>End of Use</x:v>
      </x:c>
      <x:c r="D56" s="18" t="str"/>
      <x:c r="E56" s="18" t="str"/>
      <x:c r="F56" s="18" t="str">
        <x:v>Estimated contemporary total plastics arisings</x:v>
      </x:c>
      <x:c r="G56" s="18" t="str">
        <x:v>Material</x:v>
      </x:c>
      <x:c r="H56" s="20" t="str"/>
      <x:c r="I56" s="18" t="str">
        <x:v>Mt</x:v>
      </x:c>
      <x:c r="J56" s="18" t="str">
        <x:v>2024 proxy</x:v>
      </x:c>
      <x:c r="K56" s="18" t="str">
        <x:v>UK</x:v>
      </x:c>
      <x:c r="L56" s="18" t="str">
        <x:v>designer_estimate_historical_ratio</x:v>
      </x:c>
      <x:c r="M56" s="18" t="str">
        <x:v>true</x:v>
      </x:c>
      <x:c r="N56" s="18" t="str">
        <x:v>false</x:v>
      </x:c>
      <x:c r="O56" s="18" t="str">
        <x:v>primary</x:v>
      </x:c>
      <x:c r="P56" s="18" t="str">
        <x:v>plastics</x:v>
      </x:c>
      <x:c r="Q56" s="18" t="str">
        <x:v>Plastic Products</x:v>
      </x:c>
      <x:c r="R56" s="18" t="str">
        <x:v>true</x:v>
      </x:c>
      <x:c r="S56" s="18" t="str">
        <x:v>uk_plastics_2024_proxy</x:v>
      </x:c>
      <x:c r="T56" s="18" t="str">
        <x:v>estimated_current_proxy</x:v>
      </x:c>
      <x:c r="U56" s="18" t="str">
        <x:v>DEFRA_PACKAGING_2024+WRAP_PLASTICS_2019</x:v>
      </x:c>
      <x:c r="V56" s="18" t="str">
        <x:v>Defra packaging data + WRAP historical plastics composition</x:v>
      </x:c>
      <x:c r="W56" s="18" t="str">
        <x:v>https://www.gov.uk/government/statistics/uk-waste-data/uk-statistics-on-waste</x:v>
      </x:c>
      <x:c r="X56" s="18" t="str"/>
      <x:c r="Y56" s="18" t="str">
        <x:v>Estimate = 2024 plastic packaging waste 2.149 Mt / historical 59% packaging share = 3.642 Mt total plastics arisings. Assumes 2019 packaging share remains representative; use cautiously.</x:v>
      </x:c>
      <x:c r="Z56" s="18" t="str"/>
      <x:c r="AA56" s="18" t="str">
        <x:v>low</x:v>
      </x:c>
      <x:c r="AB56" s="18" t="str">
        <x:v>2026-07-24</x:v>
      </x:c>
      <x:c r="AC56" s="18" t="str"/>
      <x:c r="AD56" s="18" t="str"/>
      <x:c r="AE56" s="20" t="n">
        <x:v>3.642</x:v>
      </x:c>
      <x:c r="AF56" s="18" t="str">
        <x:v>https://www.gov.uk/government/statistics/uk-waste-data/uk-statistics-on-waste | https://www.wrap.ngo/resources/market-situation-reports/plastics-2019</x:v>
      </x:c>
      <x:c r="AG56" s="18" t="str">
        <x:v>Estimated contemporary total plastics arisings</x:v>
      </x:c>
      <x:c r="AH56" s="18" t="str">
        <x:v>A contemporary estimate of total UK plastic-waste arisings derived from 2024 packaging waste and a historical packaging share.</x:v>
      </x:c>
      <x:c r="AI56" s="18" t="str">
        <x:v>Most conventional plastics rely on fossil feedstocks and can persist in the environment. Recycling can reduce some virgin production, but contamination, additives and quality loss limit repeated circulation.</x:v>
      </x:c>
      <x:c r="AJ56" s="18" t="str">
        <x:v>Not applicable</x:v>
      </x:c>
      <x:c r="AK56" s="18" t="str">
        <x:v>3.642 Mt plastic waste | Historical-ratio estimate | UK, 2024 proxy</x:v>
      </x:c>
      <x:c r="AL56" s="18" t="str">
        <x:v>Defra packaging data + WRAP historical plastics composition (data: 2024 proxy)</x:v>
      </x:c>
    </x:row>
    <x:row r="57">
      <x:c r="A57" s="18" t="str">
        <x:v>UK-PLAS-003</x:v>
      </x:c>
      <x:c r="B57" s="18" t="str">
        <x:v>Use / Consumption</x:v>
      </x:c>
      <x:c r="C57" s="18" t="str">
        <x:v>End of Use</x:v>
      </x:c>
      <x:c r="D57" s="18" t="str"/>
      <x:c r="E57" s="18" t="str"/>
      <x:c r="F57" s="18" t="str">
        <x:v>Estimated non-packaging plastic arisings</x:v>
      </x:c>
      <x:c r="G57" s="18" t="str">
        <x:v>Material</x:v>
      </x:c>
      <x:c r="H57" s="20" t="str"/>
      <x:c r="I57" s="18" t="str">
        <x:v>Mt</x:v>
      </x:c>
      <x:c r="J57" s="18" t="str">
        <x:v>2024 proxy</x:v>
      </x:c>
      <x:c r="K57" s="18" t="str">
        <x:v>UK</x:v>
      </x:c>
      <x:c r="L57" s="18" t="str">
        <x:v>designer_estimate_historical_ratio</x:v>
      </x:c>
      <x:c r="M57" s="18" t="str">
        <x:v>true</x:v>
      </x:c>
      <x:c r="N57" s="18" t="str">
        <x:v>false</x:v>
      </x:c>
      <x:c r="O57" s="18" t="str">
        <x:v>drilldown</x:v>
      </x:c>
      <x:c r="P57" s="18" t="str">
        <x:v>plastics</x:v>
      </x:c>
      <x:c r="Q57" s="18" t="str">
        <x:v>Non-packaging Plastic Products</x:v>
      </x:c>
      <x:c r="R57" s="18" t="str">
        <x:v>true</x:v>
      </x:c>
      <x:c r="S57" s="18" t="str">
        <x:v>uk_plastics_2024_proxy</x:v>
      </x:c>
      <x:c r="T57" s="18" t="str">
        <x:v>constituent_drilldown</x:v>
      </x:c>
      <x:c r="U57" s="18" t="str">
        <x:v>DEFRA_PACKAGING_2024+WRAP_PLASTICS_2019</x:v>
      </x:c>
      <x:c r="V57" s="18" t="str">
        <x:v>Defra packaging data + WRAP historical plastics composition</x:v>
      </x:c>
      <x:c r="W57" s="18" t="str">
        <x:v>https://www.gov.uk/government/statistics/uk-waste-data/uk-statistics-on-waste</x:v>
      </x:c>
      <x:c r="X57" s="18" t="str"/>
      <x:c r="Y57" s="18" t="str">
        <x:v>Estimated total 3.642 − packaging 2.149 = 1.493 Mt.</x:v>
      </x:c>
      <x:c r="Z57" s="18" t="str"/>
      <x:c r="AA57" s="18" t="str">
        <x:v>low</x:v>
      </x:c>
      <x:c r="AB57" s="18" t="str">
        <x:v>2026-07-24</x:v>
      </x:c>
      <x:c r="AC57" s="18" t="str"/>
      <x:c r="AD57" s="18" t="str"/>
      <x:c r="AE57" s="20" t="n">
        <x:v>1.493</x:v>
      </x:c>
      <x:c r="AF57" s="18" t="str">
        <x:v>https://www.gov.uk/government/statistics/uk-waste-data/uk-statistics-on-waste | https://www.wrap.ngo/resources/market-situation-reports/plastics-2019</x:v>
      </x:c>
      <x:c r="AG57" s="18" t="str">
        <x:v>Estimated non-packaging plastic arisings</x:v>
      </x:c>
      <x:c r="AH57" s="18" t="str">
        <x:v>The estimated non-packaging share of contemporary UK plastic-waste arisings.</x:v>
      </x:c>
      <x:c r="AI57" s="18" t="str">
        <x:v>Most conventional plastics rely on fossil feedstocks and can persist in the environment. Recycling can reduce some virgin production, but contamination, additives and quality loss limit repeated circulation.</x:v>
      </x:c>
      <x:c r="AJ57" s="18" t="str">
        <x:v>Not applicable</x:v>
      </x:c>
      <x:c r="AK57" s="18" t="str">
        <x:v>1.493 Mt non-packaging plastic | Estimate | UK, 2024 proxy</x:v>
      </x:c>
      <x:c r="AL57" s="18" t="str">
        <x:v>Defra packaging data + WRAP historical plastics composition (data: 2024 proxy)</x:v>
      </x:c>
    </x:row>
    <x:row r="58">
      <x:c r="A58" s="18" t="str">
        <x:v>UK-PKG-001</x:v>
      </x:c>
      <x:c r="B58" s="18" t="str">
        <x:v>Use / Consumption</x:v>
      </x:c>
      <x:c r="C58" s="18" t="str">
        <x:v>End of Use</x:v>
      </x:c>
      <x:c r="D58" s="18" t="str"/>
      <x:c r="E58" s="18" t="str"/>
      <x:c r="F58" s="18" t="str">
        <x:v>Packaging waste arising</x:v>
      </x:c>
      <x:c r="G58" s="18" t="str">
        <x:v>Material</x:v>
      </x:c>
      <x:c r="H58" s="20" t="n">
        <x:v>10.844</x:v>
      </x:c>
      <x:c r="I58" s="18" t="str">
        <x:v>Mt</x:v>
      </x:c>
      <x:c r="J58" s="18" t="str">
        <x:v>2024</x:v>
      </x:c>
      <x:c r="K58" s="18" t="str">
        <x:v>UK</x:v>
      </x:c>
      <x:c r="L58" s="18" t="str">
        <x:v>source_supported_methodology_2</x:v>
      </x:c>
      <x:c r="M58" s="18" t="str">
        <x:v>true</x:v>
      </x:c>
      <x:c r="N58" s="18" t="str">
        <x:v>false</x:v>
      </x:c>
      <x:c r="O58" s="18" t="str">
        <x:v>secondary</x:v>
      </x:c>
      <x:c r="P58" s="18" t="str">
        <x:v>packaging</x:v>
      </x:c>
      <x:c r="Q58" s="18" t="str">
        <x:v>Packaging</x:v>
      </x:c>
      <x:c r="R58" s="18" t="str">
        <x:v>true</x:v>
      </x:c>
      <x:c r="S58" s="18" t="str">
        <x:v>uk_packaging_method2_2024</x:v>
      </x:c>
      <x:c r="T58" s="18" t="str">
        <x:v>overlapping_secondary_stream</x:v>
      </x:c>
      <x:c r="U58" s="18" t="str">
        <x:v>DEFRA_UK_WASTE_2025</x:v>
      </x:c>
      <x:c r="V58" s="18" t="str">
        <x:v>Defra UK statistics on waste</x:v>
      </x:c>
      <x:c r="W58" s="18" t="str">
        <x:v>https://www.gov.uk/government/statistics/uk-waste-data/uk-statistics-on-waste</x:v>
      </x:c>
      <x:c r="X58" s="18" t="str">
        <x:v>2024 Methodology 2 total packaging waste arising 10.844 Mt</x:v>
      </x:c>
      <x:c r="Y58" s="18" t="str">
        <x:v>Overlaps plastic, glass, wood, metal and paper material families; do not add to those streams as though independent.</x:v>
      </x:c>
      <x:c r="Z58" s="18" t="str"/>
      <x:c r="AA58" s="18" t="str">
        <x:v>high</x:v>
      </x:c>
      <x:c r="AB58" s="18" t="str">
        <x:v>2026-07-24</x:v>
      </x:c>
      <x:c r="AC58" s="18" t="str"/>
      <x:c r="AD58" s="18" t="str"/>
      <x:c r="AE58" s="20" t="str"/>
      <x:c r="AF58" s="18" t="str"/>
      <x:c r="AG58" s="18" t="str">
        <x:v>Packaging waste arising</x:v>
      </x:c>
      <x:c r="AH58" s="18" t="str">
        <x:v>The reported total mass of UK packaging waste arising across metal, paper/card, glass, plastic, wood and other materials.</x:v>
      </x:c>
      <x:c r="AI58" s="18" t="str">
        <x:v>Packaging impacts depend on material, weight, reuse, collection and treatment. A high recycling total does not by itself show closed-loop recovery or elimination of litter and leakage.</x:v>
      </x:c>
      <x:c r="AJ58" s="18" t="str">
        <x:v>Not applicable</x:v>
      </x:c>
      <x:c r="AK58" s="18" t="str">
        <x:v>10.844 Mt packaging waste | Mixed materials | UK, 2024</x:v>
      </x:c>
      <x:c r="AL58" s="18" t="str">
        <x:v>Defra UK statistics on waste (data: 2024)</x:v>
      </x:c>
    </x:row>
    <x:row r="59">
      <x:c r="A59" s="18" t="str">
        <x:v>UK-PKG-002</x:v>
      </x:c>
      <x:c r="B59" s="18" t="str">
        <x:v>End of Use</x:v>
      </x:c>
      <x:c r="C59" s="18" t="str">
        <x:v>Material Processing</x:v>
      </x:c>
      <x:c r="D59" s="18" t="str"/>
      <x:c r="E59" s="18" t="str"/>
      <x:c r="F59" s="18" t="str">
        <x:v>Packaging recycled</x:v>
      </x:c>
      <x:c r="G59" s="18" t="str">
        <x:v>Material</x:v>
      </x:c>
      <x:c r="H59" s="20" t="n">
        <x:v>8.154</x:v>
      </x:c>
      <x:c r="I59" s="18" t="str">
        <x:v>Mt</x:v>
      </x:c>
      <x:c r="J59" s="18" t="str">
        <x:v>2024</x:v>
      </x:c>
      <x:c r="K59" s="18" t="str">
        <x:v>UK</x:v>
      </x:c>
      <x:c r="L59" s="18" t="str">
        <x:v>source_supported</x:v>
      </x:c>
      <x:c r="M59" s="18" t="str">
        <x:v>true</x:v>
      </x:c>
      <x:c r="N59" s="18" t="str">
        <x:v>false</x:v>
      </x:c>
      <x:c r="O59" s="18" t="str">
        <x:v>secondary</x:v>
      </x:c>
      <x:c r="P59" s="18" t="str">
        <x:v>packaging</x:v>
      </x:c>
      <x:c r="Q59" s="18" t="str">
        <x:v>Packaging</x:v>
      </x:c>
      <x:c r="R59" s="18" t="str"/>
      <x:c r="S59" s="18" t="str">
        <x:v>uk_packaging_method2_2024</x:v>
      </x:c>
      <x:c r="T59" s="18" t="str">
        <x:v>recycling_loop</x:v>
      </x:c>
      <x:c r="U59" s="18" t="str">
        <x:v>DEFRA_UK_WASTE_2025</x:v>
      </x:c>
      <x:c r="V59" s="18" t="str">
        <x:v>Defra UK statistics on waste</x:v>
      </x:c>
      <x:c r="W59" s="18" t="str">
        <x:v>https://www.gov.uk/government/statistics/uk-waste-data/uk-statistics-on-waste</x:v>
      </x:c>
      <x:c r="X59" s="18" t="str">
        <x:v>2024 packaging recycled 8.154 Mt</x:v>
      </x:c>
      <x:c r="Y59" s="18" t="str"/>
      <x:c r="Z59" s="18" t="str"/>
      <x:c r="AA59" s="18" t="str">
        <x:v>high</x:v>
      </x:c>
      <x:c r="AB59" s="18" t="str">
        <x:v>2026-07-24</x:v>
      </x:c>
      <x:c r="AC59" s="18" t="str"/>
      <x:c r="AD59" s="18" t="str"/>
      <x:c r="AE59" s="20" t="str"/>
      <x:c r="AF59" s="18" t="str"/>
      <x:c r="AG59" s="18" t="str">
        <x:v>Packaging recycled</x:v>
      </x:c>
      <x:c r="AH59" s="18" t="str">
        <x:v>The reported total mass of UK packaging recorded as recycled across several material types.</x:v>
      </x:c>
      <x:c r="AI59" s="18" t="str">
        <x:v>Packaging impacts depend on material, weight, reuse, collection and treatment. A high recycling total does not by itself show closed-loop recovery or elimination of litter and leakage.</x:v>
      </x:c>
      <x:c r="AJ59" s="18" t="str">
        <x:v>Recycling</x:v>
      </x:c>
      <x:c r="AK59" s="18" t="str">
        <x:v>8.154 Mt packaging recycled | Mixed materials | UK, 2024</x:v>
      </x:c>
      <x:c r="AL59" s="18" t="str">
        <x:v>Defra UK statistics on waste (data: 2024)</x:v>
      </x:c>
    </x:row>
    <x:row r="60">
      <x:c r="A60" s="18" t="str">
        <x:v>UK-PKG-003</x:v>
      </x:c>
      <x:c r="B60" s="18" t="str">
        <x:v>End of Use</x:v>
      </x:c>
      <x:c r="C60" s="18" t="str">
        <x:v>Other Treatment / Losses</x:v>
      </x:c>
      <x:c r="D60" s="18" t="str"/>
      <x:c r="E60" s="18" t="str"/>
      <x:c r="F60" s="18" t="str">
        <x:v>Packaging not recycled / other treatment</x:v>
      </x:c>
      <x:c r="G60" s="18" t="str">
        <x:v>Material</x:v>
      </x:c>
      <x:c r="H60" s="20" t="str"/>
      <x:c r="I60" s="18" t="str">
        <x:v>Mt</x:v>
      </x:c>
      <x:c r="J60" s="18" t="str">
        <x:v>2024</x:v>
      </x:c>
      <x:c r="K60" s="18" t="str">
        <x:v>UK</x:v>
      </x:c>
      <x:c r="L60" s="18" t="str">
        <x:v>derived_from_source_supported</x:v>
      </x:c>
      <x:c r="M60" s="18" t="str">
        <x:v>true</x:v>
      </x:c>
      <x:c r="N60" s="18" t="str">
        <x:v>false</x:v>
      </x:c>
      <x:c r="O60" s="18" t="str">
        <x:v>secondary</x:v>
      </x:c>
      <x:c r="P60" s="18" t="str">
        <x:v>packaging</x:v>
      </x:c>
      <x:c r="Q60" s="18" t="str">
        <x:v>Packaging</x:v>
      </x:c>
      <x:c r="R60" s="18" t="str"/>
      <x:c r="S60" s="18" t="str">
        <x:v>uk_packaging_method2_2024</x:v>
      </x:c>
      <x:c r="T60" s="18" t="str">
        <x:v>derived_terminal_flow</x:v>
      </x:c>
      <x:c r="U60" s="18" t="str">
        <x:v>DEFRA_UK_WASTE_2025</x:v>
      </x:c>
      <x:c r="V60" s="18" t="str">
        <x:v>Defra UK statistics on waste</x:v>
      </x:c>
      <x:c r="W60" s="18" t="str">
        <x:v>https://www.gov.uk/government/statistics/uk-waste-data/uk-statistics-on-waste</x:v>
      </x:c>
      <x:c r="X60" s="18" t="str"/>
      <x:c r="Y60" s="18" t="str">
        <x:v>Derived = 10.844 Mt waste arising − 8.154 Mt recycled = 2.690 Mt. This is NOT labelled landfill because it may include incineration/other treatment.</x:v>
      </x:c>
      <x:c r="Z60" s="18" t="str"/>
      <x:c r="AA60" s="18" t="str">
        <x:v>high</x:v>
      </x:c>
      <x:c r="AB60" s="18" t="str">
        <x:v>2026-07-24</x:v>
      </x:c>
      <x:c r="AC60" s="18" t="str"/>
      <x:c r="AD60" s="18" t="str"/>
      <x:c r="AE60" s="20" t="n">
        <x:v>2.69</x:v>
      </x:c>
      <x:c r="AF60" s="18" t="str">
        <x:v>https://www.gov.uk/government/statistics/uk-waste-data/uk-statistics-on-waste</x:v>
      </x:c>
      <x:c r="AG60" s="18" t="str">
        <x:v>Packaging not recycled / other treatment</x:v>
      </x:c>
      <x:c r="AH60" s="18" t="str">
        <x:v>The derived mass of packaging not recorded as recycled and therefore assigned to other treatment or loss routes.</x:v>
      </x:c>
      <x:c r="AI60" s="18" t="str">
        <x:v>Packaging impacts depend on material, weight, reuse, collection and treatment. A high recycling total does not by itself show closed-loop recovery or elimination of litter and leakage.</x:v>
      </x:c>
      <x:c r="AJ60" s="18" t="str">
        <x:v>Recovery unspecified</x:v>
      </x:c>
      <x:c r="AK60" s="18" t="str">
        <x:v>2.69 Mt packaging | Not recorded as recycled | UK, 2024</x:v>
      </x:c>
      <x:c r="AL60" s="18" t="str">
        <x:v>Defra UK statistics on waste (data: 2024)</x:v>
      </x:c>
    </x:row>
    <x:row r="61">
      <x:c r="A61" s="18" t="str">
        <x:v>UK-PKG-D001</x:v>
      </x:c>
      <x:c r="B61" s="18" t="str">
        <x:v>Use / Consumption</x:v>
      </x:c>
      <x:c r="C61" s="18" t="str">
        <x:v>End of Use</x:v>
      </x:c>
      <x:c r="D61" s="18" t="str"/>
      <x:c r="E61" s="18" t="str"/>
      <x:c r="F61" s="18" t="str">
        <x:v>Metal packaging</x:v>
      </x:c>
      <x:c r="G61" s="18" t="str">
        <x:v>Material</x:v>
      </x:c>
      <x:c r="H61" s="20" t="n">
        <x:v>0.668</x:v>
      </x:c>
      <x:c r="I61" s="18" t="str">
        <x:v>Mt</x:v>
      </x:c>
      <x:c r="J61" s="18" t="str">
        <x:v>2024</x:v>
      </x:c>
      <x:c r="K61" s="18" t="str">
        <x:v>UK</x:v>
      </x:c>
      <x:c r="L61" s="18" t="str">
        <x:v>source_supported_methodology_2</x:v>
      </x:c>
      <x:c r="M61" s="18" t="str">
        <x:v>true</x:v>
      </x:c>
      <x:c r="N61" s="18" t="str">
        <x:v>false</x:v>
      </x:c>
      <x:c r="O61" s="18" t="str">
        <x:v>drilldown</x:v>
      </x:c>
      <x:c r="P61" s="18" t="str">
        <x:v>packaging_materials</x:v>
      </x:c>
      <x:c r="Q61" s="18" t="str">
        <x:v>Metal packaging</x:v>
      </x:c>
      <x:c r="R61" s="18" t="str">
        <x:v>true</x:v>
      </x:c>
      <x:c r="S61" s="18" t="str">
        <x:v>uk_packaging_method2_2024</x:v>
      </x:c>
      <x:c r="T61" s="18" t="str">
        <x:v>constituent_drilldown</x:v>
      </x:c>
      <x:c r="U61" s="18" t="str">
        <x:v>DEFRA_UK_WASTE_2025</x:v>
      </x:c>
      <x:c r="V61" s="18" t="str">
        <x:v>Defra UK statistics on waste</x:v>
      </x:c>
      <x:c r="W61" s="18" t="str">
        <x:v>https://www.gov.uk/government/statistics/uk-waste-data/uk-statistics-on-waste</x:v>
      </x:c>
      <x:c r="X61" s="18" t="str"/>
      <x:c r="Y61" s="18" t="str">
        <x:v>Constituent of the packaging total; never add on top of total packaging ribbon.</x:v>
      </x:c>
      <x:c r="Z61" s="18" t="str"/>
      <x:c r="AA61" s="18" t="str">
        <x:v>high</x:v>
      </x:c>
      <x:c r="AB61" s="18" t="str">
        <x:v>2026-07-24</x:v>
      </x:c>
      <x:c r="AC61" s="18" t="str"/>
      <x:c r="AD61" s="18" t="str"/>
      <x:c r="AE61" s="20" t="str"/>
      <x:c r="AF61" s="18" t="str"/>
      <x:c r="AG61" s="18" t="str">
        <x:v>Metal packaging</x:v>
      </x:c>
      <x:c r="AH61" s="18" t="str">
        <x:v>The reported mass of metal packaging waste arising in the UK.</x:v>
      </x:c>
      <x:c r="AI61" s="18" t="str">
        <x:v>The ecological outcome varies by packaging material and recovery route; the quantity is a constituent of the packaging total and must not be added to it as an independent flow.</x:v>
      </x:c>
      <x:c r="AJ61" s="18" t="str">
        <x:v>Not applicable</x:v>
      </x:c>
      <x:c r="AK61" s="18" t="str">
        <x:v>0.668 Mt metal packaging waste | UK, 2024</x:v>
      </x:c>
      <x:c r="AL61" s="18" t="str">
        <x:v>Defra UK statistics on waste (data: 2024)</x:v>
      </x:c>
    </x:row>
    <x:row r="62">
      <x:c r="A62" s="18" t="str">
        <x:v>UK-PKG-R001</x:v>
      </x:c>
      <x:c r="B62" s="18" t="str">
        <x:v>End of Use</x:v>
      </x:c>
      <x:c r="C62" s="18" t="str">
        <x:v>Material Processing</x:v>
      </x:c>
      <x:c r="D62" s="18" t="str"/>
      <x:c r="E62" s="18" t="str"/>
      <x:c r="F62" s="18" t="str">
        <x:v>Metal packaging recycled</x:v>
      </x:c>
      <x:c r="G62" s="18" t="str">
        <x:v>Material</x:v>
      </x:c>
      <x:c r="H62" s="20" t="n">
        <x:v>0.536</x:v>
      </x:c>
      <x:c r="I62" s="18" t="str">
        <x:v>Mt</x:v>
      </x:c>
      <x:c r="J62" s="18" t="str">
        <x:v>2024</x:v>
      </x:c>
      <x:c r="K62" s="18" t="str">
        <x:v>UK</x:v>
      </x:c>
      <x:c r="L62" s="18" t="str">
        <x:v>source_supported</x:v>
      </x:c>
      <x:c r="M62" s="18" t="str">
        <x:v>true</x:v>
      </x:c>
      <x:c r="N62" s="18" t="str">
        <x:v>false</x:v>
      </x:c>
      <x:c r="O62" s="18" t="str">
        <x:v>drilldown</x:v>
      </x:c>
      <x:c r="P62" s="18" t="str">
        <x:v>packaging_materials</x:v>
      </x:c>
      <x:c r="Q62" s="18" t="str">
        <x:v>Metal packaging</x:v>
      </x:c>
      <x:c r="R62" s="18" t="str"/>
      <x:c r="S62" s="18" t="str">
        <x:v>uk_packaging_method2_2024</x:v>
      </x:c>
      <x:c r="T62" s="18" t="str">
        <x:v>constituent_drilldown</x:v>
      </x:c>
      <x:c r="U62" s="18" t="str">
        <x:v>DEFRA_UK_WASTE_2025</x:v>
      </x:c>
      <x:c r="V62" s="18" t="str">
        <x:v>Defra UK statistics on waste</x:v>
      </x:c>
      <x:c r="W62" s="18" t="str">
        <x:v>https://www.gov.uk/government/statistics/uk-waste-data/uk-statistics-on-waste</x:v>
      </x:c>
      <x:c r="X62" s="18" t="str"/>
      <x:c r="Y62" s="18" t="str"/>
      <x:c r="Z62" s="18" t="str"/>
      <x:c r="AA62" s="18" t="str">
        <x:v>high</x:v>
      </x:c>
      <x:c r="AB62" s="18" t="str">
        <x:v>2026-07-24</x:v>
      </x:c>
      <x:c r="AC62" s="18" t="str"/>
      <x:c r="AD62" s="18" t="str"/>
      <x:c r="AE62" s="20" t="str"/>
      <x:c r="AF62" s="18" t="str"/>
      <x:c r="AG62" s="18" t="str">
        <x:v>Metal packaging recycled</x:v>
      </x:c>
      <x:c r="AH62" s="18" t="str">
        <x:v>The reported mass of metal packaging recorded as recycled in the UK.</x:v>
      </x:c>
      <x:c r="AI62" s="18" t="str">
        <x:v>The ecological outcome varies by packaging material and recovery route; the quantity is a constituent of the packaging total and must not be added to it as an independent flow.</x:v>
      </x:c>
      <x:c r="AJ62" s="18" t="str">
        <x:v>Recycling</x:v>
      </x:c>
      <x:c r="AK62" s="18" t="str">
        <x:v>0.536 Mt metal packaging recycled | UK, 2024</x:v>
      </x:c>
      <x:c r="AL62" s="18" t="str">
        <x:v>Defra UK statistics on waste (data: 2024)</x:v>
      </x:c>
    </x:row>
    <x:row r="63">
      <x:c r="A63" s="18" t="str">
        <x:v>UK-PKG-D002</x:v>
      </x:c>
      <x:c r="B63" s="18" t="str">
        <x:v>Use / Consumption</x:v>
      </x:c>
      <x:c r="C63" s="18" t="str">
        <x:v>End of Use</x:v>
      </x:c>
      <x:c r="D63" s="18" t="str"/>
      <x:c r="E63" s="18" t="str"/>
      <x:c r="F63" s="18" t="str">
        <x:v>Paper/card packaging</x:v>
      </x:c>
      <x:c r="G63" s="18" t="str">
        <x:v>Material</x:v>
      </x:c>
      <x:c r="H63" s="20" t="n">
        <x:v>4.709</x:v>
      </x:c>
      <x:c r="I63" s="18" t="str">
        <x:v>Mt</x:v>
      </x:c>
      <x:c r="J63" s="18" t="str">
        <x:v>2024</x:v>
      </x:c>
      <x:c r="K63" s="18" t="str">
        <x:v>UK</x:v>
      </x:c>
      <x:c r="L63" s="18" t="str">
        <x:v>source_supported_methodology_2</x:v>
      </x:c>
      <x:c r="M63" s="18" t="str">
        <x:v>true</x:v>
      </x:c>
      <x:c r="N63" s="18" t="str">
        <x:v>false</x:v>
      </x:c>
      <x:c r="O63" s="18" t="str">
        <x:v>drilldown</x:v>
      </x:c>
      <x:c r="P63" s="18" t="str">
        <x:v>packaging_materials</x:v>
      </x:c>
      <x:c r="Q63" s="18" t="str">
        <x:v>Paper/card packaging</x:v>
      </x:c>
      <x:c r="R63" s="18" t="str">
        <x:v>true</x:v>
      </x:c>
      <x:c r="S63" s="18" t="str">
        <x:v>uk_packaging_method2_2024</x:v>
      </x:c>
      <x:c r="T63" s="18" t="str">
        <x:v>constituent_drilldown</x:v>
      </x:c>
      <x:c r="U63" s="18" t="str">
        <x:v>DEFRA_UK_WASTE_2025</x:v>
      </x:c>
      <x:c r="V63" s="18" t="str">
        <x:v>Defra UK statistics on waste</x:v>
      </x:c>
      <x:c r="W63" s="18" t="str">
        <x:v>https://www.gov.uk/government/statistics/uk-waste-data/uk-statistics-on-waste</x:v>
      </x:c>
      <x:c r="X63" s="18" t="str"/>
      <x:c r="Y63" s="18" t="str">
        <x:v>Constituent of the packaging total; never add on top of total packaging ribbon.</x:v>
      </x:c>
      <x:c r="Z63" s="18" t="str"/>
      <x:c r="AA63" s="18" t="str">
        <x:v>high</x:v>
      </x:c>
      <x:c r="AB63" s="18" t="str">
        <x:v>2026-07-24</x:v>
      </x:c>
      <x:c r="AC63" s="18" t="str"/>
      <x:c r="AD63" s="18" t="str"/>
      <x:c r="AE63" s="20" t="str"/>
      <x:c r="AF63" s="18" t="str"/>
      <x:c r="AG63" s="18" t="str">
        <x:v>Paper and card packaging</x:v>
      </x:c>
      <x:c r="AH63" s="18" t="str">
        <x:v>The reported mass of paper and card packaging waste arising in the UK.</x:v>
      </x:c>
      <x:c r="AI63" s="18" t="str">
        <x:v>The ecological outcome varies by packaging material and recovery route; the quantity is a constituent of the packaging total and must not be added to it as an independent flow.</x:v>
      </x:c>
      <x:c r="AJ63" s="18" t="str">
        <x:v>Not applicable</x:v>
      </x:c>
      <x:c r="AK63" s="18" t="str">
        <x:v>4.709 Mt paper/card packaging waste | UK, 2024</x:v>
      </x:c>
      <x:c r="AL63" s="18" t="str">
        <x:v>Defra UK statistics on waste (data: 2024)</x:v>
      </x:c>
    </x:row>
    <x:row r="64">
      <x:c r="A64" s="18" t="str">
        <x:v>UK-PKG-R002</x:v>
      </x:c>
      <x:c r="B64" s="18" t="str">
        <x:v>End of Use</x:v>
      </x:c>
      <x:c r="C64" s="18" t="str">
        <x:v>Material Processing</x:v>
      </x:c>
      <x:c r="D64" s="18" t="str"/>
      <x:c r="E64" s="18" t="str"/>
      <x:c r="F64" s="18" t="str">
        <x:v>Paper/card packaging recycled</x:v>
      </x:c>
      <x:c r="G64" s="18" t="str">
        <x:v>Material</x:v>
      </x:c>
      <x:c r="H64" s="20" t="n">
        <x:v>4.069</x:v>
      </x:c>
      <x:c r="I64" s="18" t="str">
        <x:v>Mt</x:v>
      </x:c>
      <x:c r="J64" s="18" t="str">
        <x:v>2024</x:v>
      </x:c>
      <x:c r="K64" s="18" t="str">
        <x:v>UK</x:v>
      </x:c>
      <x:c r="L64" s="18" t="str">
        <x:v>source_supported</x:v>
      </x:c>
      <x:c r="M64" s="18" t="str">
        <x:v>true</x:v>
      </x:c>
      <x:c r="N64" s="18" t="str">
        <x:v>false</x:v>
      </x:c>
      <x:c r="O64" s="18" t="str">
        <x:v>drilldown</x:v>
      </x:c>
      <x:c r="P64" s="18" t="str">
        <x:v>packaging_materials</x:v>
      </x:c>
      <x:c r="Q64" s="18" t="str">
        <x:v>Paper/card packaging</x:v>
      </x:c>
      <x:c r="R64" s="18" t="str"/>
      <x:c r="S64" s="18" t="str">
        <x:v>uk_packaging_method2_2024</x:v>
      </x:c>
      <x:c r="T64" s="18" t="str">
        <x:v>constituent_drilldown</x:v>
      </x:c>
      <x:c r="U64" s="18" t="str">
        <x:v>DEFRA_UK_WASTE_2025</x:v>
      </x:c>
      <x:c r="V64" s="18" t="str">
        <x:v>Defra UK statistics on waste</x:v>
      </x:c>
      <x:c r="W64" s="18" t="str">
        <x:v>https://www.gov.uk/government/statistics/uk-waste-data/uk-statistics-on-waste</x:v>
      </x:c>
      <x:c r="X64" s="18" t="str"/>
      <x:c r="Y64" s="18" t="str"/>
      <x:c r="Z64" s="18" t="str"/>
      <x:c r="AA64" s="18" t="str">
        <x:v>high</x:v>
      </x:c>
      <x:c r="AB64" s="18" t="str">
        <x:v>2026-07-24</x:v>
      </x:c>
      <x:c r="AC64" s="18" t="str"/>
      <x:c r="AD64" s="18" t="str"/>
      <x:c r="AE64" s="20" t="str"/>
      <x:c r="AF64" s="18" t="str"/>
      <x:c r="AG64" s="18" t="str">
        <x:v>Paper and card packaging recycled</x:v>
      </x:c>
      <x:c r="AH64" s="18" t="str">
        <x:v>The reported mass of paper and card packaging recorded as recycled in the UK.</x:v>
      </x:c>
      <x:c r="AI64" s="18" t="str">
        <x:v>The ecological outcome varies by packaging material and recovery route; the quantity is a constituent of the packaging total and must not be added to it as an independent flow.</x:v>
      </x:c>
      <x:c r="AJ64" s="18" t="str">
        <x:v>Recycling</x:v>
      </x:c>
      <x:c r="AK64" s="18" t="str">
        <x:v>4.069 Mt paper/card packaging recycled | UK, 2024</x:v>
      </x:c>
      <x:c r="AL64" s="18" t="str">
        <x:v>Defra UK statistics on waste (data: 2024)</x:v>
      </x:c>
    </x:row>
    <x:row r="65">
      <x:c r="A65" s="18" t="str">
        <x:v>UK-PKG-D003</x:v>
      </x:c>
      <x:c r="B65" s="18" t="str">
        <x:v>Use / Consumption</x:v>
      </x:c>
      <x:c r="C65" s="18" t="str">
        <x:v>End of Use</x:v>
      </x:c>
      <x:c r="D65" s="18" t="str"/>
      <x:c r="E65" s="18" t="str"/>
      <x:c r="F65" s="18" t="str">
        <x:v>Glass packaging</x:v>
      </x:c>
      <x:c r="G65" s="18" t="str">
        <x:v>Material</x:v>
      </x:c>
      <x:c r="H65" s="20" t="n">
        <x:v>2.189</x:v>
      </x:c>
      <x:c r="I65" s="18" t="str">
        <x:v>Mt</x:v>
      </x:c>
      <x:c r="J65" s="18" t="str">
        <x:v>2024</x:v>
      </x:c>
      <x:c r="K65" s="18" t="str">
        <x:v>UK</x:v>
      </x:c>
      <x:c r="L65" s="18" t="str">
        <x:v>source_supported_methodology_2</x:v>
      </x:c>
      <x:c r="M65" s="18" t="str">
        <x:v>true</x:v>
      </x:c>
      <x:c r="N65" s="18" t="str">
        <x:v>false</x:v>
      </x:c>
      <x:c r="O65" s="18" t="str">
        <x:v>drilldown</x:v>
      </x:c>
      <x:c r="P65" s="18" t="str">
        <x:v>packaging_materials</x:v>
      </x:c>
      <x:c r="Q65" s="18" t="str">
        <x:v>Glass packaging</x:v>
      </x:c>
      <x:c r="R65" s="18" t="str">
        <x:v>true</x:v>
      </x:c>
      <x:c r="S65" s="18" t="str">
        <x:v>uk_packaging_method2_2024</x:v>
      </x:c>
      <x:c r="T65" s="18" t="str">
        <x:v>constituent_drilldown</x:v>
      </x:c>
      <x:c r="U65" s="18" t="str">
        <x:v>DEFRA_UK_WASTE_2025</x:v>
      </x:c>
      <x:c r="V65" s="18" t="str">
        <x:v>Defra UK statistics on waste</x:v>
      </x:c>
      <x:c r="W65" s="18" t="str">
        <x:v>https://www.gov.uk/government/statistics/uk-waste-data/uk-statistics-on-waste</x:v>
      </x:c>
      <x:c r="X65" s="18" t="str"/>
      <x:c r="Y65" s="18" t="str">
        <x:v>Constituent of the packaging total; never add on top of total packaging ribbon.</x:v>
      </x:c>
      <x:c r="Z65" s="18" t="str"/>
      <x:c r="AA65" s="18" t="str">
        <x:v>high</x:v>
      </x:c>
      <x:c r="AB65" s="18" t="str">
        <x:v>2026-07-24</x:v>
      </x:c>
      <x:c r="AC65" s="18" t="str"/>
      <x:c r="AD65" s="18" t="str"/>
      <x:c r="AE65" s="20" t="str"/>
      <x:c r="AF65" s="18" t="str"/>
      <x:c r="AG65" s="18" t="str">
        <x:v>Glass packaging</x:v>
      </x:c>
      <x:c r="AH65" s="18" t="str">
        <x:v>The reported mass of glass packaging waste arising in the UK.</x:v>
      </x:c>
      <x:c r="AI65" s="18" t="str">
        <x:v>The ecological outcome varies by packaging material and recovery route; the quantity is a constituent of the packaging total and must not be added to it as an independent flow.</x:v>
      </x:c>
      <x:c r="AJ65" s="18" t="str">
        <x:v>Not applicable</x:v>
      </x:c>
      <x:c r="AK65" s="18" t="str">
        <x:v>2.189 Mt glass packaging waste | UK, 2024</x:v>
      </x:c>
      <x:c r="AL65" s="18" t="str">
        <x:v>Defra UK statistics on waste (data: 2024)</x:v>
      </x:c>
    </x:row>
    <x:row r="66">
      <x:c r="A66" s="18" t="str">
        <x:v>UK-PKG-R003</x:v>
      </x:c>
      <x:c r="B66" s="18" t="str">
        <x:v>End of Use</x:v>
      </x:c>
      <x:c r="C66" s="18" t="str">
        <x:v>Material Processing</x:v>
      </x:c>
      <x:c r="D66" s="18" t="str"/>
      <x:c r="E66" s="18" t="str"/>
      <x:c r="F66" s="18" t="str">
        <x:v>Glass packaging recycled</x:v>
      </x:c>
      <x:c r="G66" s="18" t="str">
        <x:v>Material</x:v>
      </x:c>
      <x:c r="H66" s="20" t="n">
        <x:v>1.759</x:v>
      </x:c>
      <x:c r="I66" s="18" t="str">
        <x:v>Mt</x:v>
      </x:c>
      <x:c r="J66" s="18" t="str">
        <x:v>2024</x:v>
      </x:c>
      <x:c r="K66" s="18" t="str">
        <x:v>UK</x:v>
      </x:c>
      <x:c r="L66" s="18" t="str">
        <x:v>source_supported</x:v>
      </x:c>
      <x:c r="M66" s="18" t="str">
        <x:v>true</x:v>
      </x:c>
      <x:c r="N66" s="18" t="str">
        <x:v>false</x:v>
      </x:c>
      <x:c r="O66" s="18" t="str">
        <x:v>drilldown</x:v>
      </x:c>
      <x:c r="P66" s="18" t="str">
        <x:v>packaging_materials</x:v>
      </x:c>
      <x:c r="Q66" s="18" t="str">
        <x:v>Glass packaging</x:v>
      </x:c>
      <x:c r="R66" s="18" t="str"/>
      <x:c r="S66" s="18" t="str">
        <x:v>uk_packaging_method2_2024</x:v>
      </x:c>
      <x:c r="T66" s="18" t="str">
        <x:v>constituent_drilldown</x:v>
      </x:c>
      <x:c r="U66" s="18" t="str">
        <x:v>DEFRA_UK_WASTE_2025</x:v>
      </x:c>
      <x:c r="V66" s="18" t="str">
        <x:v>Defra UK statistics on waste</x:v>
      </x:c>
      <x:c r="W66" s="18" t="str">
        <x:v>https://www.gov.uk/government/statistics/uk-waste-data/uk-statistics-on-waste</x:v>
      </x:c>
      <x:c r="X66" s="18" t="str"/>
      <x:c r="Y66" s="18" t="str"/>
      <x:c r="Z66" s="18" t="str"/>
      <x:c r="AA66" s="18" t="str">
        <x:v>high</x:v>
      </x:c>
      <x:c r="AB66" s="18" t="str">
        <x:v>2026-07-24</x:v>
      </x:c>
      <x:c r="AC66" s="18" t="str"/>
      <x:c r="AD66" s="18" t="str"/>
      <x:c r="AE66" s="20" t="str"/>
      <x:c r="AF66" s="18" t="str"/>
      <x:c r="AG66" s="18" t="str">
        <x:v>Glass packaging recycled</x:v>
      </x:c>
      <x:c r="AH66" s="18" t="str">
        <x:v>The reported mass of glass packaging recorded as recycled in the UK.</x:v>
      </x:c>
      <x:c r="AI66" s="18" t="str">
        <x:v>The ecological outcome varies by packaging material and recovery route; the quantity is a constituent of the packaging total and must not be added to it as an independent flow.</x:v>
      </x:c>
      <x:c r="AJ66" s="18" t="str">
        <x:v>Recycling</x:v>
      </x:c>
      <x:c r="AK66" s="18" t="str">
        <x:v>1.759 Mt glass packaging recycled | UK, 2024</x:v>
      </x:c>
      <x:c r="AL66" s="18" t="str">
        <x:v>Defra UK statistics on waste (data: 2024)</x:v>
      </x:c>
    </x:row>
    <x:row r="67">
      <x:c r="A67" s="18" t="str">
        <x:v>UK-PKG-D004</x:v>
      </x:c>
      <x:c r="B67" s="18" t="str">
        <x:v>Use / Consumption</x:v>
      </x:c>
      <x:c r="C67" s="18" t="str">
        <x:v>End of Use</x:v>
      </x:c>
      <x:c r="D67" s="18" t="str"/>
      <x:c r="E67" s="18" t="str"/>
      <x:c r="F67" s="18" t="str">
        <x:v>Plastic packaging</x:v>
      </x:c>
      <x:c r="G67" s="18" t="str">
        <x:v>Material</x:v>
      </x:c>
      <x:c r="H67" s="20" t="n">
        <x:v>2.149</x:v>
      </x:c>
      <x:c r="I67" s="18" t="str">
        <x:v>Mt</x:v>
      </x:c>
      <x:c r="J67" s="18" t="str">
        <x:v>2024</x:v>
      </x:c>
      <x:c r="K67" s="18" t="str">
        <x:v>UK</x:v>
      </x:c>
      <x:c r="L67" s="18" t="str">
        <x:v>source_supported_methodology_2</x:v>
      </x:c>
      <x:c r="M67" s="18" t="str">
        <x:v>true</x:v>
      </x:c>
      <x:c r="N67" s="18" t="str">
        <x:v>false</x:v>
      </x:c>
      <x:c r="O67" s="18" t="str">
        <x:v>drilldown</x:v>
      </x:c>
      <x:c r="P67" s="18" t="str">
        <x:v>packaging_materials</x:v>
      </x:c>
      <x:c r="Q67" s="18" t="str">
        <x:v>Plastic packaging</x:v>
      </x:c>
      <x:c r="R67" s="18" t="str">
        <x:v>true</x:v>
      </x:c>
      <x:c r="S67" s="18" t="str">
        <x:v>uk_packaging_method2_2024</x:v>
      </x:c>
      <x:c r="T67" s="18" t="str">
        <x:v>constituent_drilldown</x:v>
      </x:c>
      <x:c r="U67" s="18" t="str">
        <x:v>DEFRA_UK_WASTE_2025</x:v>
      </x:c>
      <x:c r="V67" s="18" t="str">
        <x:v>Defra UK statistics on waste</x:v>
      </x:c>
      <x:c r="W67" s="18" t="str">
        <x:v>https://www.gov.uk/government/statistics/uk-waste-data/uk-statistics-on-waste</x:v>
      </x:c>
      <x:c r="X67" s="18" t="str"/>
      <x:c r="Y67" s="18" t="str">
        <x:v>Constituent of the packaging total; never add on top of total packaging ribbon.</x:v>
      </x:c>
      <x:c r="Z67" s="18" t="str"/>
      <x:c r="AA67" s="18" t="str">
        <x:v>high</x:v>
      </x:c>
      <x:c r="AB67" s="18" t="str">
        <x:v>2026-07-24</x:v>
      </x:c>
      <x:c r="AC67" s="18" t="str"/>
      <x:c r="AD67" s="18" t="str"/>
      <x:c r="AE67" s="20" t="str"/>
      <x:c r="AF67" s="18" t="str"/>
      <x:c r="AG67" s="18" t="str">
        <x:v>Plastic packaging</x:v>
      </x:c>
      <x:c r="AH67" s="18" t="str">
        <x:v>The reported mass of plastic packaging waste arising in the UK.</x:v>
      </x:c>
      <x:c r="AI67" s="18" t="str">
        <x:v>The ecological outcome varies by packaging material and recovery route; the quantity is a constituent of the packaging total and must not be added to it as an independent flow.</x:v>
      </x:c>
      <x:c r="AJ67" s="18" t="str">
        <x:v>Not applicable</x:v>
      </x:c>
      <x:c r="AK67" s="18" t="str">
        <x:v>2.149 Mt plastic packaging waste | UK, 2024</x:v>
      </x:c>
      <x:c r="AL67" s="18" t="str">
        <x:v>Defra UK statistics on waste (data: 2024)</x:v>
      </x:c>
    </x:row>
    <x:row r="68">
      <x:c r="A68" s="18" t="str">
        <x:v>UK-PKG-R004</x:v>
      </x:c>
      <x:c r="B68" s="18" t="str">
        <x:v>End of Use</x:v>
      </x:c>
      <x:c r="C68" s="18" t="str">
        <x:v>Material Processing</x:v>
      </x:c>
      <x:c r="D68" s="18" t="str"/>
      <x:c r="E68" s="18" t="str"/>
      <x:c r="F68" s="18" t="str">
        <x:v>Plastic packaging recycled</x:v>
      </x:c>
      <x:c r="G68" s="18" t="str">
        <x:v>Material</x:v>
      </x:c>
      <x:c r="H68" s="20" t="n">
        <x:v>1.154</x:v>
      </x:c>
      <x:c r="I68" s="18" t="str">
        <x:v>Mt</x:v>
      </x:c>
      <x:c r="J68" s="18" t="str">
        <x:v>2024</x:v>
      </x:c>
      <x:c r="K68" s="18" t="str">
        <x:v>UK</x:v>
      </x:c>
      <x:c r="L68" s="18" t="str">
        <x:v>source_supported</x:v>
      </x:c>
      <x:c r="M68" s="18" t="str">
        <x:v>true</x:v>
      </x:c>
      <x:c r="N68" s="18" t="str">
        <x:v>false</x:v>
      </x:c>
      <x:c r="O68" s="18" t="str">
        <x:v>drilldown</x:v>
      </x:c>
      <x:c r="P68" s="18" t="str">
        <x:v>packaging_materials</x:v>
      </x:c>
      <x:c r="Q68" s="18" t="str">
        <x:v>Plastic packaging</x:v>
      </x:c>
      <x:c r="R68" s="18" t="str"/>
      <x:c r="S68" s="18" t="str">
        <x:v>uk_packaging_method2_2024</x:v>
      </x:c>
      <x:c r="T68" s="18" t="str">
        <x:v>constituent_drilldown</x:v>
      </x:c>
      <x:c r="U68" s="18" t="str">
        <x:v>DEFRA_UK_WASTE_2025</x:v>
      </x:c>
      <x:c r="V68" s="18" t="str">
        <x:v>Defra UK statistics on waste</x:v>
      </x:c>
      <x:c r="W68" s="18" t="str">
        <x:v>https://www.gov.uk/government/statistics/uk-waste-data/uk-statistics-on-waste</x:v>
      </x:c>
      <x:c r="X68" s="18" t="str"/>
      <x:c r="Y68" s="18" t="str"/>
      <x:c r="Z68" s="18" t="str"/>
      <x:c r="AA68" s="18" t="str">
        <x:v>high</x:v>
      </x:c>
      <x:c r="AB68" s="18" t="str">
        <x:v>2026-07-24</x:v>
      </x:c>
      <x:c r="AC68" s="18" t="str"/>
      <x:c r="AD68" s="18" t="str"/>
      <x:c r="AE68" s="20" t="str"/>
      <x:c r="AF68" s="18" t="str"/>
      <x:c r="AG68" s="18" t="str">
        <x:v>Plastic packaging recycled</x:v>
      </x:c>
      <x:c r="AH68" s="18" t="str">
        <x:v>The reported mass of plastic packaging recorded as recycled in the UK.</x:v>
      </x:c>
      <x:c r="AI68" s="18" t="str">
        <x:v>The ecological outcome varies by packaging material and recovery route; the quantity is a constituent of the packaging total and must not be added to it as an independent flow.</x:v>
      </x:c>
      <x:c r="AJ68" s="18" t="str">
        <x:v>Recycling</x:v>
      </x:c>
      <x:c r="AK68" s="18" t="str">
        <x:v>1.154 Mt plastic packaging recycled | UK, 2024</x:v>
      </x:c>
      <x:c r="AL68" s="18" t="str">
        <x:v>Defra UK statistics on waste (data: 2024)</x:v>
      </x:c>
    </x:row>
    <x:row r="69">
      <x:c r="A69" s="18" t="str">
        <x:v>UK-PKG-D005</x:v>
      </x:c>
      <x:c r="B69" s="18" t="str">
        <x:v>Use / Consumption</x:v>
      </x:c>
      <x:c r="C69" s="18" t="str">
        <x:v>End of Use</x:v>
      </x:c>
      <x:c r="D69" s="18" t="str"/>
      <x:c r="E69" s="18" t="str"/>
      <x:c r="F69" s="18" t="str">
        <x:v>Wood packaging</x:v>
      </x:c>
      <x:c r="G69" s="18" t="str">
        <x:v>Material</x:v>
      </x:c>
      <x:c r="H69" s="20" t="n">
        <x:v>1.106</x:v>
      </x:c>
      <x:c r="I69" s="18" t="str">
        <x:v>Mt</x:v>
      </x:c>
      <x:c r="J69" s="18" t="str">
        <x:v>2024</x:v>
      </x:c>
      <x:c r="K69" s="18" t="str">
        <x:v>UK</x:v>
      </x:c>
      <x:c r="L69" s="18" t="str">
        <x:v>source_supported_methodology_2</x:v>
      </x:c>
      <x:c r="M69" s="18" t="str">
        <x:v>true</x:v>
      </x:c>
      <x:c r="N69" s="18" t="str">
        <x:v>false</x:v>
      </x:c>
      <x:c r="O69" s="18" t="str">
        <x:v>drilldown</x:v>
      </x:c>
      <x:c r="P69" s="18" t="str">
        <x:v>packaging_materials</x:v>
      </x:c>
      <x:c r="Q69" s="18" t="str">
        <x:v>Wood packaging</x:v>
      </x:c>
      <x:c r="R69" s="18" t="str">
        <x:v>true</x:v>
      </x:c>
      <x:c r="S69" s="18" t="str">
        <x:v>uk_packaging_method2_2024</x:v>
      </x:c>
      <x:c r="T69" s="18" t="str">
        <x:v>constituent_drilldown</x:v>
      </x:c>
      <x:c r="U69" s="18" t="str">
        <x:v>DEFRA_UK_WASTE_2025</x:v>
      </x:c>
      <x:c r="V69" s="18" t="str">
        <x:v>Defra UK statistics on waste</x:v>
      </x:c>
      <x:c r="W69" s="18" t="str">
        <x:v>https://www.gov.uk/government/statistics/uk-waste-data/uk-statistics-on-waste</x:v>
      </x:c>
      <x:c r="X69" s="18" t="str"/>
      <x:c r="Y69" s="18" t="str">
        <x:v>Constituent of the packaging total; never add on top of total packaging ribbon.</x:v>
      </x:c>
      <x:c r="Z69" s="18" t="str"/>
      <x:c r="AA69" s="18" t="str">
        <x:v>high</x:v>
      </x:c>
      <x:c r="AB69" s="18" t="str">
        <x:v>2026-07-24</x:v>
      </x:c>
      <x:c r="AC69" s="18" t="str"/>
      <x:c r="AD69" s="18" t="str"/>
      <x:c r="AE69" s="20" t="str"/>
      <x:c r="AF69" s="18" t="str"/>
      <x:c r="AG69" s="18" t="str">
        <x:v>Wood packaging</x:v>
      </x:c>
      <x:c r="AH69" s="18" t="str">
        <x:v>The reported mass of wood packaging waste arising in the UK.</x:v>
      </x:c>
      <x:c r="AI69" s="18" t="str">
        <x:v>The ecological outcome varies by packaging material and recovery route; the quantity is a constituent of the packaging total and must not be added to it as an independent flow.</x:v>
      </x:c>
      <x:c r="AJ69" s="18" t="str">
        <x:v>Not applicable</x:v>
      </x:c>
      <x:c r="AK69" s="18" t="str">
        <x:v>1.106 Mt wood packaging waste | UK, 2024</x:v>
      </x:c>
      <x:c r="AL69" s="18" t="str">
        <x:v>Defra UK statistics on waste (data: 2024)</x:v>
      </x:c>
    </x:row>
    <x:row r="70">
      <x:c r="A70" s="18" t="str">
        <x:v>UK-PKG-R005</x:v>
      </x:c>
      <x:c r="B70" s="18" t="str">
        <x:v>End of Use</x:v>
      </x:c>
      <x:c r="C70" s="18" t="str">
        <x:v>Material Processing</x:v>
      </x:c>
      <x:c r="D70" s="18" t="str"/>
      <x:c r="E70" s="18" t="str"/>
      <x:c r="F70" s="18" t="str">
        <x:v>Wood packaging recycled</x:v>
      </x:c>
      <x:c r="G70" s="18" t="str">
        <x:v>Material</x:v>
      </x:c>
      <x:c r="H70" s="20" t="n">
        <x:v>0.634</x:v>
      </x:c>
      <x:c r="I70" s="18" t="str">
        <x:v>Mt</x:v>
      </x:c>
      <x:c r="J70" s="18" t="str">
        <x:v>2024</x:v>
      </x:c>
      <x:c r="K70" s="18" t="str">
        <x:v>UK</x:v>
      </x:c>
      <x:c r="L70" s="18" t="str">
        <x:v>source_supported</x:v>
      </x:c>
      <x:c r="M70" s="18" t="str">
        <x:v>true</x:v>
      </x:c>
      <x:c r="N70" s="18" t="str">
        <x:v>false</x:v>
      </x:c>
      <x:c r="O70" s="18" t="str">
        <x:v>drilldown</x:v>
      </x:c>
      <x:c r="P70" s="18" t="str">
        <x:v>packaging_materials</x:v>
      </x:c>
      <x:c r="Q70" s="18" t="str">
        <x:v>Wood packaging</x:v>
      </x:c>
      <x:c r="R70" s="18" t="str"/>
      <x:c r="S70" s="18" t="str">
        <x:v>uk_packaging_method2_2024</x:v>
      </x:c>
      <x:c r="T70" s="18" t="str">
        <x:v>constituent_drilldown</x:v>
      </x:c>
      <x:c r="U70" s="18" t="str">
        <x:v>DEFRA_UK_WASTE_2025</x:v>
      </x:c>
      <x:c r="V70" s="18" t="str">
        <x:v>Defra UK statistics on waste</x:v>
      </x:c>
      <x:c r="W70" s="18" t="str">
        <x:v>https://www.gov.uk/government/statistics/uk-waste-data/uk-statistics-on-waste</x:v>
      </x:c>
      <x:c r="X70" s="18" t="str"/>
      <x:c r="Y70" s="18" t="str"/>
      <x:c r="Z70" s="18" t="str"/>
      <x:c r="AA70" s="18" t="str">
        <x:v>high</x:v>
      </x:c>
      <x:c r="AB70" s="18" t="str">
        <x:v>2026-07-24</x:v>
      </x:c>
      <x:c r="AC70" s="18" t="str"/>
      <x:c r="AD70" s="18" t="str"/>
      <x:c r="AE70" s="20" t="str"/>
      <x:c r="AF70" s="18" t="str"/>
      <x:c r="AG70" s="18" t="str">
        <x:v>Wood packaging recycled</x:v>
      </x:c>
      <x:c r="AH70" s="18" t="str">
        <x:v>The reported mass of wood packaging recorded as recycled in the UK.</x:v>
      </x:c>
      <x:c r="AI70" s="18" t="str">
        <x:v>The ecological outcome varies by packaging material and recovery route; the quantity is a constituent of the packaging total and must not be added to it as an independent flow.</x:v>
      </x:c>
      <x:c r="AJ70" s="18" t="str">
        <x:v>Recycling</x:v>
      </x:c>
      <x:c r="AK70" s="18" t="str">
        <x:v>0.634 Mt wood packaging recycled | UK, 2024</x:v>
      </x:c>
      <x:c r="AL70" s="18" t="str">
        <x:v>Defra UK statistics on waste (data: 2024)</x:v>
      </x:c>
    </x:row>
    <x:row r="71">
      <x:c r="A71" s="18" t="str">
        <x:v>UK-PKG-D006</x:v>
      </x:c>
      <x:c r="B71" s="18" t="str">
        <x:v>Use / Consumption</x:v>
      </x:c>
      <x:c r="C71" s="18" t="str">
        <x:v>End of Use</x:v>
      </x:c>
      <x:c r="D71" s="18" t="str"/>
      <x:c r="E71" s="18" t="str"/>
      <x:c r="F71" s="18" t="str">
        <x:v>Other packaging</x:v>
      </x:c>
      <x:c r="G71" s="18" t="str">
        <x:v>Material</x:v>
      </x:c>
      <x:c r="H71" s="20" t="n">
        <x:v>0.023</x:v>
      </x:c>
      <x:c r="I71" s="18" t="str">
        <x:v>Mt</x:v>
      </x:c>
      <x:c r="J71" s="18" t="str">
        <x:v>2024</x:v>
      </x:c>
      <x:c r="K71" s="18" t="str">
        <x:v>UK</x:v>
      </x:c>
      <x:c r="L71" s="18" t="str">
        <x:v>source_supported_methodology_2</x:v>
      </x:c>
      <x:c r="M71" s="18" t="str">
        <x:v>true</x:v>
      </x:c>
      <x:c r="N71" s="18" t="str">
        <x:v>false</x:v>
      </x:c>
      <x:c r="O71" s="18" t="str">
        <x:v>drilldown</x:v>
      </x:c>
      <x:c r="P71" s="18" t="str">
        <x:v>packaging_materials</x:v>
      </x:c>
      <x:c r="Q71" s="18" t="str">
        <x:v>Other packaging</x:v>
      </x:c>
      <x:c r="R71" s="18" t="str">
        <x:v>true</x:v>
      </x:c>
      <x:c r="S71" s="18" t="str">
        <x:v>uk_packaging_method2_2024</x:v>
      </x:c>
      <x:c r="T71" s="18" t="str">
        <x:v>constituent_drilldown</x:v>
      </x:c>
      <x:c r="U71" s="18" t="str">
        <x:v>DEFRA_UK_WASTE_2025</x:v>
      </x:c>
      <x:c r="V71" s="18" t="str">
        <x:v>Defra UK statistics on waste</x:v>
      </x:c>
      <x:c r="W71" s="18" t="str">
        <x:v>https://www.gov.uk/government/statistics/uk-waste-data/uk-statistics-on-waste</x:v>
      </x:c>
      <x:c r="X71" s="18" t="str"/>
      <x:c r="Y71" s="18" t="str">
        <x:v>Constituent of the packaging total; never add on top of total packaging ribbon.</x:v>
      </x:c>
      <x:c r="Z71" s="18" t="str"/>
      <x:c r="AA71" s="18" t="str">
        <x:v>high</x:v>
      </x:c>
      <x:c r="AB71" s="18" t="str">
        <x:v>2026-07-24</x:v>
      </x:c>
      <x:c r="AC71" s="18" t="str"/>
      <x:c r="AD71" s="18" t="str"/>
      <x:c r="AE71" s="20" t="str"/>
      <x:c r="AF71" s="18" t="str"/>
      <x:c r="AG71" s="18" t="str">
        <x:v>Other packaging</x:v>
      </x:c>
      <x:c r="AH71" s="18" t="str">
        <x:v>The reported mass of packaging classified outside the main metal, paper/card, glass, plastic and wood categories.</x:v>
      </x:c>
      <x:c r="AI71" s="18" t="str">
        <x:v>The ecological outcome varies by packaging material and recovery route; the quantity is a constituent of the packaging total and must not be added to it as an independent flow.</x:v>
      </x:c>
      <x:c r="AJ71" s="18" t="str">
        <x:v>Not applicable</x:v>
      </x:c>
      <x:c r="AK71" s="18" t="str">
        <x:v>0.023 Mt other packaging waste | UK, 2024</x:v>
      </x:c>
      <x:c r="AL71" s="18" t="str">
        <x:v>Defra UK statistics on waste (data: 2024)</x:v>
      </x:c>
    </x:row>
    <x:row r="72">
      <x:c r="A72" s="18" t="str">
        <x:v>UK-TEX-001</x:v>
      </x:c>
      <x:c r="B72" s="18" t="str">
        <x:v>Fabrication / Manufacture</x:v>
      </x:c>
      <x:c r="C72" s="18" t="str">
        <x:v>Use / Consumption</x:v>
      </x:c>
      <x:c r="D72" s="18" t="str"/>
      <x:c r="E72" s="18" t="str"/>
      <x:c r="F72" s="18" t="str">
        <x:v>New textile products consumed</x:v>
      </x:c>
      <x:c r="G72" s="18" t="str">
        <x:v>Material</x:v>
      </x:c>
      <x:c r="H72" s="20" t="n">
        <x:v>1.42</x:v>
      </x:c>
      <x:c r="I72" s="18" t="str">
        <x:v>Mt</x:v>
      </x:c>
      <x:c r="J72" s="18" t="str">
        <x:v>2022</x:v>
      </x:c>
      <x:c r="K72" s="18" t="str">
        <x:v>UK</x:v>
      </x:c>
      <x:c r="L72" s="18" t="str">
        <x:v>source_supported</x:v>
      </x:c>
      <x:c r="M72" s="18" t="str">
        <x:v>true</x:v>
      </x:c>
      <x:c r="N72" s="18" t="str">
        <x:v>false</x:v>
      </x:c>
      <x:c r="O72" s="18" t="str">
        <x:v>primary</x:v>
      </x:c>
      <x:c r="P72" s="18" t="str">
        <x:v>textiles</x:v>
      </x:c>
      <x:c r="Q72" s="18" t="str">
        <x:v>Textiles / Apparel</x:v>
      </x:c>
      <x:c r="R72" s="18" t="str"/>
      <x:c r="S72" s="18" t="str">
        <x:v>uk_textiles_2022</x:v>
      </x:c>
      <x:c r="T72" s="18" t="str">
        <x:v>market_use_stream</x:v>
      </x:c>
      <x:c r="U72" s="18" t="str">
        <x:v>WRAP_TEXTILES_2024</x:v>
      </x:c>
      <x:c r="V72" s="18" t="str">
        <x:v>WRAP Textiles Market Situation Report 2024</x:v>
      </x:c>
      <x:c r="W72" s="18" t="str">
        <x:v>https://www.wrap.ngo/resources/report/textiles-market-situation-report-2024</x:v>
      </x:c>
      <x:c r="X72" s="18" t="str">
        <x:v>UK consumed 1.42 Mt new textile products in 2022</x:v>
      </x:c>
      <x:c r="Y72" s="18" t="str">
        <x:v>Consumption includes imported products; it is mapped through Fabrication/Manufacture as the product-market inflow rather than implying all textiles were manufactured domestically.</x:v>
      </x:c>
      <x:c r="Z72" s="18" t="str"/>
      <x:c r="AA72" s="18" t="str">
        <x:v>medium-high</x:v>
      </x:c>
      <x:c r="AB72" s="18" t="str">
        <x:v>2026-07-24</x:v>
      </x:c>
      <x:c r="AC72" s="18" t="str"/>
      <x:c r="AD72" s="18" t="str"/>
      <x:c r="AE72" s="20" t="str"/>
      <x:c r="AF72" s="18" t="str"/>
      <x:c r="AG72" s="18" t="str">
        <x:v>New textile products consumed</x:v>
      </x:c>
      <x:c r="AH72" s="18" t="str">
        <x:v>The reported mass of new textile products consumed in the UK, including imported products.</x:v>
      </x:c>
      <x:c r="AI72" s="18" t="str">
        <x:v>Textiles can involve fibre production, water and chemical use, energy, microfibre release and waste. Longer use and direct reuse generally retain more value than fibre recycling.</x:v>
      </x:c>
      <x:c r="AJ72" s="18" t="str">
        <x:v>Not applicable</x:v>
      </x:c>
      <x:c r="AK72" s="18" t="str">
        <x:v>1.42 Mt new textiles consumed | UK, 2022</x:v>
      </x:c>
      <x:c r="AL72" s="18" t="str">
        <x:v>WRAP Textiles Market Situation Report 2024 (data: 2022)</x:v>
      </x:c>
    </x:row>
    <x:row r="73">
      <x:c r="A73" s="18" t="str">
        <x:v>UK-TEX-002</x:v>
      </x:c>
      <x:c r="B73" s="18" t="str">
        <x:v>Use / Consumption</x:v>
      </x:c>
      <x:c r="C73" s="18" t="str">
        <x:v>End of Use</x:v>
      </x:c>
      <x:c r="D73" s="18" t="str"/>
      <x:c r="E73" s="18" t="str"/>
      <x:c r="F73" s="18" t="str">
        <x:v>Used textiles generated</x:v>
      </x:c>
      <x:c r="G73" s="18" t="str">
        <x:v>Material</x:v>
      </x:c>
      <x:c r="H73" s="20" t="n">
        <x:v>1.45</x:v>
      </x:c>
      <x:c r="I73" s="18" t="str">
        <x:v>Mt</x:v>
      </x:c>
      <x:c r="J73" s="18" t="str">
        <x:v>2022</x:v>
      </x:c>
      <x:c r="K73" s="18" t="str">
        <x:v>UK</x:v>
      </x:c>
      <x:c r="L73" s="18" t="str">
        <x:v>source_supported_estimate</x:v>
      </x:c>
      <x:c r="M73" s="18" t="str">
        <x:v>true</x:v>
      </x:c>
      <x:c r="N73" s="18" t="str">
        <x:v>false</x:v>
      </x:c>
      <x:c r="O73" s="18" t="str">
        <x:v>primary</x:v>
      </x:c>
      <x:c r="P73" s="18" t="str">
        <x:v>textiles</x:v>
      </x:c>
      <x:c r="Q73" s="18" t="str">
        <x:v>Textiles / Apparel</x:v>
      </x:c>
      <x:c r="R73" s="18" t="str">
        <x:v>true</x:v>
      </x:c>
      <x:c r="S73" s="18" t="str">
        <x:v>uk_textiles_2022</x:v>
      </x:c>
      <x:c r="T73" s="18" t="str">
        <x:v>end_of_use_stream</x:v>
      </x:c>
      <x:c r="U73" s="18" t="str">
        <x:v>WRAP_TEXTILES_2024</x:v>
      </x:c>
      <x:c r="V73" s="18" t="str">
        <x:v>WRAP Textiles Market Situation Report 2024</x:v>
      </x:c>
      <x:c r="W73" s="18" t="str">
        <x:v>https://www.wrap.ngo/resources/report/textiles-market-situation-report-2024</x:v>
      </x:c>
      <x:c r="X73" s="18" t="str">
        <x:v>1.45 Mt used textiles generated in UK in 2022</x:v>
      </x:c>
      <x:c r="Y73" s="18" t="str"/>
      <x:c r="Z73" s="18" t="str"/>
      <x:c r="AA73" s="18" t="str">
        <x:v>high</x:v>
      </x:c>
      <x:c r="AB73" s="18" t="str">
        <x:v>2026-07-24</x:v>
      </x:c>
      <x:c r="AC73" s="18" t="str"/>
      <x:c r="AD73" s="18" t="str"/>
      <x:c r="AE73" s="20" t="str"/>
      <x:c r="AF73" s="18" t="str"/>
      <x:c r="AG73" s="18" t="str">
        <x:v>Used textiles generated</x:v>
      </x:c>
      <x:c r="AH73" s="18" t="str">
        <x:v>The estimated mass of used textile products generated in the UK and entering collection, reuse or disposal routes.</x:v>
      </x:c>
      <x:c r="AI73" s="18" t="str">
        <x:v>Textiles can involve fibre production, water and chemical use, energy, microfibre release and waste. Longer use and direct reuse generally retain more value than fibre recycling.</x:v>
      </x:c>
      <x:c r="AJ73" s="18" t="str">
        <x:v>Not applicable</x:v>
      </x:c>
      <x:c r="AK73" s="18" t="str">
        <x:v>1.45 Mt used textiles generated | UK, 2022</x:v>
      </x:c>
      <x:c r="AL73" s="18" t="str">
        <x:v>WRAP Textiles Market Situation Report 2024 (data: 2022)</x:v>
      </x:c>
    </x:row>
    <x:row r="74">
      <x:c r="A74" s="18" t="str">
        <x:v>UK-TEX-003</x:v>
      </x:c>
      <x:c r="B74" s="18" t="str">
        <x:v>End of Use</x:v>
      </x:c>
      <x:c r="C74" s="18" t="str">
        <x:v>Reuse / Recycling</x:v>
      </x:c>
      <x:c r="D74" s="18" t="str"/>
      <x:c r="E74" s="18" t="str"/>
      <x:c r="F74" s="18" t="str">
        <x:v>Textiles diverted to reuse/recycling</x:v>
      </x:c>
      <x:c r="G74" s="18" t="str">
        <x:v>Material</x:v>
      </x:c>
      <x:c r="H74" s="20" t="n">
        <x:v>0.65</x:v>
      </x:c>
      <x:c r="I74" s="18" t="str">
        <x:v>Mt</x:v>
      </x:c>
      <x:c r="J74" s="18" t="str">
        <x:v>2022</x:v>
      </x:c>
      <x:c r="K74" s="18" t="str">
        <x:v>UK</x:v>
      </x:c>
      <x:c r="L74" s="18" t="str">
        <x:v>source_supported_estimate</x:v>
      </x:c>
      <x:c r="M74" s="18" t="str">
        <x:v>true</x:v>
      </x:c>
      <x:c r="N74" s="18" t="str">
        <x:v>false</x:v>
      </x:c>
      <x:c r="O74" s="18" t="str">
        <x:v>primary</x:v>
      </x:c>
      <x:c r="P74" s="18" t="str">
        <x:v>textiles</x:v>
      </x:c>
      <x:c r="Q74" s="18" t="str">
        <x:v>Textiles / Apparel</x:v>
      </x:c>
      <x:c r="R74" s="18" t="str"/>
      <x:c r="S74" s="18" t="str">
        <x:v>uk_textiles_2022</x:v>
      </x:c>
      <x:c r="T74" s="18" t="str">
        <x:v>reuse_recycling_flow</x:v>
      </x:c>
      <x:c r="U74" s="18" t="str">
        <x:v>WRAP_TEXTILES_2024</x:v>
      </x:c>
      <x:c r="V74" s="18" t="str">
        <x:v>WRAP</x:v>
      </x:c>
      <x:c r="W74" s="18" t="str">
        <x:v>https://www.wrap.ngo/resources/guide/textiles-resource-hierarchy-product-reuse</x:v>
      </x:c>
      <x:c r="X74" s="18" t="str">
        <x:v>Estimated 650,000 t post-consumer textiles collected for diversion from end-of-life in 2022</x:v>
      </x:c>
      <x:c r="Y74" s="18" t="str"/>
      <x:c r="Z74" s="18" t="str"/>
      <x:c r="AA74" s="18" t="str">
        <x:v>high</x:v>
      </x:c>
      <x:c r="AB74" s="18" t="str">
        <x:v>2026-07-24</x:v>
      </x:c>
      <x:c r="AC74" s="18" t="str"/>
      <x:c r="AD74" s="18" t="str"/>
      <x:c r="AE74" s="20" t="str"/>
      <x:c r="AF74" s="18" t="str"/>
      <x:c r="AG74" s="18" t="str">
        <x:v>Textiles diverted to reuse/recycling</x:v>
      </x:c>
      <x:c r="AH74" s="18" t="str">
        <x:v>The estimated mass of post-consumer textiles collected for diversion from end-of-life through a combined reuse or recycling route; the split is not reported.</x:v>
      </x:c>
      <x:c r="AI74" s="18" t="str">
        <x:v>Textiles can involve fibre production, water and chemical use, energy, microfibre release and waste. Longer use and direct reuse generally retain more value than fibre recycling.</x:v>
      </x:c>
      <x:c r="AJ74" s="18" t="str">
        <x:v>Combined reuse or recycling</x:v>
      </x:c>
      <x:c r="AK74" s="18" t="str">
        <x:v>0.65 Mt textiles | Reuse or recycling split not reported | UK, 2022</x:v>
      </x:c>
      <x:c r="AL74" s="18" t="str">
        <x:v>WRAP (data: 2022)</x:v>
      </x:c>
    </x:row>
    <x:row r="75">
      <x:c r="A75" s="18" t="str">
        <x:v>UK-TEX-004</x:v>
      </x:c>
      <x:c r="B75" s="18" t="str">
        <x:v>End of Use</x:v>
      </x:c>
      <x:c r="C75" s="18" t="str">
        <x:v>Landfill / Incineration</x:v>
      </x:c>
      <x:c r="D75" s="18" t="str"/>
      <x:c r="E75" s="18" t="str"/>
      <x:c r="F75" s="18" t="str">
        <x:v>Textiles discarded in general waste</x:v>
      </x:c>
      <x:c r="G75" s="18" t="str">
        <x:v>Material</x:v>
      </x:c>
      <x:c r="H75" s="20" t="n">
        <x:v>0.711</x:v>
      </x:c>
      <x:c r="I75" s="18" t="str">
        <x:v>Mt</x:v>
      </x:c>
      <x:c r="J75" s="18" t="str">
        <x:v>2021 / annual benchmark</x:v>
      </x:c>
      <x:c r="K75" s="18" t="str">
        <x:v>UK</x:v>
      </x:c>
      <x:c r="L75" s="18" t="str">
        <x:v>source_supported_estimate</x:v>
      </x:c>
      <x:c r="M75" s="18" t="str">
        <x:v>true</x:v>
      </x:c>
      <x:c r="N75" s="18" t="str">
        <x:v>false</x:v>
      </x:c>
      <x:c r="O75" s="18" t="str">
        <x:v>secondary</x:v>
      </x:c>
      <x:c r="P75" s="18" t="str">
        <x:v>textiles</x:v>
      </x:c>
      <x:c r="Q75" s="18" t="str">
        <x:v>Textiles / Apparel</x:v>
      </x:c>
      <x:c r="R75" s="18" t="str"/>
      <x:c r="S75" s="18" t="str">
        <x:v>uk_textiles_general_waste_2021</x:v>
      </x:c>
      <x:c r="T75" s="18" t="str">
        <x:v>terminal_flow</x:v>
      </x:c>
      <x:c r="U75" s="18" t="str">
        <x:v>WRAP_TEXTILES_PACT</x:v>
      </x:c>
      <x:c r="V75" s="18" t="str">
        <x:v>WRAP UK Textiles Pact</x:v>
      </x:c>
      <x:c r="W75" s="18" t="str">
        <x:v>https://www.wrap.ngo/take-action/uk-textiles-pact</x:v>
      </x:c>
      <x:c r="X75" s="18" t="str">
        <x:v>711,000 t post-consumer textiles discarded in general waste annually</x:v>
      </x:c>
      <x:c r="Y75" s="18" t="str">
        <x:v>General waste is ultimately landfill/incineration; do not force this 2021/annual benchmark to balance exactly against the 2022 generation figure.</x:v>
      </x:c>
      <x:c r="Z75" s="18" t="str"/>
      <x:c r="AA75" s="18" t="str">
        <x:v>high</x:v>
      </x:c>
      <x:c r="AB75" s="18" t="str">
        <x:v>2026-07-24</x:v>
      </x:c>
      <x:c r="AC75" s="18" t="str"/>
      <x:c r="AD75" s="18" t="str"/>
      <x:c r="AE75" s="20" t="str"/>
      <x:c r="AF75" s="18" t="str"/>
      <x:c r="AG75" s="18" t="str">
        <x:v>Textiles discarded in general waste</x:v>
      </x:c>
      <x:c r="AH75" s="18" t="str">
        <x:v>The estimated mass of post-consumer textiles discarded in general waste and ultimately directed to landfill or incineration.</x:v>
      </x:c>
      <x:c r="AI75" s="18" t="str">
        <x:v>Textiles can involve fibre production, water and chemical use, energy, microfibre release and waste. Longer use and direct reuse generally retain more value than fibre recycling.</x:v>
      </x:c>
      <x:c r="AJ75" s="18" t="str">
        <x:v>Not applicable</x:v>
      </x:c>
      <x:c r="AK75" s="18" t="str">
        <x:v>0.711 Mt textiles | General waste | UK annual benchmark</x:v>
      </x:c>
      <x:c r="AL75" s="18" t="str">
        <x:v>WRAP UK Textiles Pact (data: 2021 / annual benchmark)</x:v>
      </x:c>
    </x:row>
    <x:row r="76">
      <x:c r="A76" s="18" t="str">
        <x:v>UK-FURN-001</x:v>
      </x:c>
      <x:c r="B76" s="18" t="str">
        <x:v>Use / Consumption</x:v>
      </x:c>
      <x:c r="C76" s="18" t="str">
        <x:v>End of Use</x:v>
      </x:c>
      <x:c r="D76" s="18" t="str"/>
      <x:c r="E76" s="18" t="str"/>
      <x:c r="F76" s="18" t="str">
        <x:v>Furniture &amp; furnishings disposed</x:v>
      </x:c>
      <x:c r="G76" s="18" t="str">
        <x:v>Material</x:v>
      </x:c>
      <x:c r="H76" s="20" t="n">
        <x:v>0.861</x:v>
      </x:c>
      <x:c r="I76" s="18" t="str">
        <x:v>Mt</x:v>
      </x:c>
      <x:c r="J76" s="18" t="str">
        <x:v>2017</x:v>
      </x:c>
      <x:c r="K76" s="18" t="str">
        <x:v>England</x:v>
      </x:c>
      <x:c r="L76" s="18" t="str">
        <x:v>historical_proxy</x:v>
      </x:c>
      <x:c r="M76" s="18" t="str">
        <x:v>true</x:v>
      </x:c>
      <x:c r="N76" s="18" t="str">
        <x:v>false</x:v>
      </x:c>
      <x:c r="O76" s="18" t="str">
        <x:v>secondary</x:v>
      </x:c>
      <x:c r="P76" s="18" t="str">
        <x:v>furniture</x:v>
      </x:c>
      <x:c r="Q76" s="18" t="str">
        <x:v>Furniture / Furnishings</x:v>
      </x:c>
      <x:c r="R76" s="18" t="str">
        <x:v>true</x:v>
      </x:c>
      <x:c r="S76" s="18" t="str">
        <x:v>england_furniture_2017</x:v>
      </x:c>
      <x:c r="T76" s="18" t="str">
        <x:v>historical_end_of_use_proxy</x:v>
      </x:c>
      <x:c r="U76" s="18" t="str">
        <x:v>DEFRA_WASTE_PREVENTION_2023</x:v>
      </x:c>
      <x:c r="V76" s="18" t="str">
        <x:v>Defra Waste Prevention Programme for England (citing WRAP)</x:v>
      </x:c>
      <x:c r="W76" s="18" t="str">
        <x:v>https://www.gov.uk/government/publications/waste-prevention-programme-for-england-maximising-resources-minimising-waste/the-waste-prevention-programme-for-england-maximising-resources-minimising-waste</x:v>
      </x:c>
      <x:c r="X76" s="18" t="str">
        <x:v>Over 861,000 t furniture incl. mattresses, carpets and underlay disposed in municipal residual waste, England 2017</x:v>
      </x:c>
      <x:c r="Y76" s="18" t="str">
        <x:v>Historical England-only proxy; never aggregate into a current UK total without harmonisation.</x:v>
      </x:c>
      <x:c r="Z76" s="18" t="str"/>
      <x:c r="AA76" s="18" t="str">
        <x:v>high</x:v>
      </x:c>
      <x:c r="AB76" s="18" t="str">
        <x:v>2026-07-24</x:v>
      </x:c>
      <x:c r="AC76" s="18" t="str"/>
      <x:c r="AD76" s="18" t="str"/>
      <x:c r="AE76" s="20" t="str"/>
      <x:c r="AF76" s="18" t="str"/>
      <x:c r="AG76" s="18" t="str">
        <x:v>Furniture &amp; furnishings disposed</x:v>
      </x:c>
      <x:c r="AH76" s="18" t="str">
        <x:v>A historical England-only estimate of furniture, mattresses, carpets and underlay disposed through municipal residual waste.</x:v>
      </x:c>
      <x:c r="AI76" s="18" t="str">
        <x:v>Furniture combines mixed materials, adhesives and finishes that can make repair and separation difficult. Longer use and component reuse can avoid replacement and residual waste.</x:v>
      </x:c>
      <x:c r="AJ76" s="18" t="str">
        <x:v>Not applicable</x:v>
      </x:c>
      <x:c r="AK76" s="18" t="str">
        <x:v>0.861 Mt furniture and furnishings | Residual waste | England, 2017</x:v>
      </x:c>
      <x:c r="AL76" s="18" t="str">
        <x:v>Defra Waste Prevention Programme for England (citing WRAP) (data: 2017)</x:v>
      </x:c>
    </x:row>
    <x:row r="77">
      <x:c r="A77" s="18" t="str">
        <x:v>UK-WEEE-001</x:v>
      </x:c>
      <x:c r="B77" s="18" t="str">
        <x:v>Use / Consumption</x:v>
      </x:c>
      <x:c r="C77" s="18" t="str">
        <x:v>End of Use</x:v>
      </x:c>
      <x:c r="D77" s="18" t="str"/>
      <x:c r="E77" s="18" t="str"/>
      <x:c r="F77" s="18" t="str">
        <x:v>Estimated WEEE generated</x:v>
      </x:c>
      <x:c r="G77" s="18" t="str">
        <x:v>Material</x:v>
      </x:c>
      <x:c r="H77" s="20" t="str"/>
      <x:c r="I77" s="18" t="str">
        <x:v>Mt</x:v>
      </x:c>
      <x:c r="J77" s="18" t="str">
        <x:v>2019 benchmark</x:v>
      </x:c>
      <x:c r="K77" s="18" t="str">
        <x:v>UK</x:v>
      </x:c>
      <x:c r="L77" s="18" t="str">
        <x:v>international_report_estimate</x:v>
      </x:c>
      <x:c r="M77" s="18" t="str">
        <x:v>true</x:v>
      </x:c>
      <x:c r="N77" s="18" t="str">
        <x:v>false</x:v>
      </x:c>
      <x:c r="O77" s="18" t="str">
        <x:v>primary</x:v>
      </x:c>
      <x:c r="P77" s="18" t="str">
        <x:v>weee</x:v>
      </x:c>
      <x:c r="Q77" s="18" t="str">
        <x:v>Electrical / Electronic Equipment</x:v>
      </x:c>
      <x:c r="R77" s="18" t="str">
        <x:v>true</x:v>
      </x:c>
      <x:c r="S77" s="18" t="str">
        <x:v>uk_weee_estimate</x:v>
      </x:c>
      <x:c r="T77" s="18" t="str">
        <x:v>estimated_end_of_use_stream</x:v>
      </x:c>
      <x:c r="U77" s="18" t="str">
        <x:v>UN_EWASTE+UK_PARLIAMENT</x:v>
      </x:c>
      <x:c r="V77" s="18" t="str">
        <x:v>Global E-waste Monitor estimate / UK Parliament context</x:v>
      </x:c>
      <x:c r="W77" s="18" t="str">
        <x:v>https://publications.parliament.uk/pa/cm5801/cmselect/cmenvaud/220/22010.htm</x:v>
      </x:c>
      <x:c r="X77" s="18" t="str"/>
      <x:c r="Y77" s="18" t="str">
        <x:v>Estimated 1.6 Mt WEEE generated in UK in 2019 from Global E-waste Monitor reporting. Use as an indicative scale, not a current official UK generation statistic.</x:v>
      </x:c>
      <x:c r="Z77" s="18" t="str"/>
      <x:c r="AA77" s="18" t="str">
        <x:v>medium</x:v>
      </x:c>
      <x:c r="AB77" s="18" t="str">
        <x:v>2026-07-24</x:v>
      </x:c>
      <x:c r="AC77" s="18" t="str"/>
      <x:c r="AD77" s="18" t="str"/>
      <x:c r="AE77" s="20" t="n">
        <x:v>1.6</x:v>
      </x:c>
      <x:c r="AF77" s="18" t="str">
        <x:v>https://publications.parliament.uk/pa/cm5801/cmselect/cmenvaud/220/22010.htm | https://www.letsrecycle.com/news/uk-the-second-largest-producer-of-weee/</x:v>
      </x:c>
      <x:c r="AG77" s="18" t="str">
        <x:v>Estimated electrical and electronic waste generated</x:v>
      </x:c>
      <x:c r="AH77" s="18" t="str">
        <x:v>An indicative estimate of electrical and electronic waste generated in the UK, based on an international e-waste benchmark.</x:v>
      </x:c>
      <x:c r="AI77" s="18" t="str">
        <x:v>Electrical and electronic products contain valuable and hazardous materials. Formal collection can improve recovery and reduce unsafe disposal, but collection does not guarantee complete material recycling.</x:v>
      </x:c>
      <x:c r="AJ77" s="18" t="str">
        <x:v>Not applicable</x:v>
      </x:c>
      <x:c r="AK77" s="18" t="str">
        <x:v>1.6 Mt electrical and electronic waste | Estimate | UK, 2019 benchmark</x:v>
      </x:c>
      <x:c r="AL77" s="18" t="str">
        <x:v>Global E-waste Monitor estimate / UK Parliament context (data: 2019 benchmark)</x:v>
      </x:c>
    </x:row>
    <x:row r="78">
      <x:c r="A78" s="18" t="str">
        <x:v>UK-WEEE-002</x:v>
      </x:c>
      <x:c r="B78" s="18" t="str">
        <x:v>End of Use</x:v>
      </x:c>
      <x:c r="C78" s="18" t="str">
        <x:v>Material Processing</x:v>
      </x:c>
      <x:c r="D78" s="18" t="str"/>
      <x:c r="E78" s="18" t="str"/>
      <x:c r="F78" s="18" t="str">
        <x:v>WEEE formally collected</x:v>
      </x:c>
      <x:c r="G78" s="18" t="str">
        <x:v>Material</x:v>
      </x:c>
      <x:c r="H78" s="20" t="n">
        <x:v>0.496</x:v>
      </x:c>
      <x:c r="I78" s="18" t="str">
        <x:v>Mt</x:v>
      </x:c>
      <x:c r="J78" s="18" t="str">
        <x:v>2024</x:v>
      </x:c>
      <x:c r="K78" s="18" t="str">
        <x:v>UK</x:v>
      </x:c>
      <x:c r="L78" s="18" t="str">
        <x:v>source_supported_secondary_analysis</x:v>
      </x:c>
      <x:c r="M78" s="18" t="str">
        <x:v>true</x:v>
      </x:c>
      <x:c r="N78" s="18" t="str">
        <x:v>false</x:v>
      </x:c>
      <x:c r="O78" s="18" t="str">
        <x:v>primary</x:v>
      </x:c>
      <x:c r="P78" s="18" t="str">
        <x:v>weee</x:v>
      </x:c>
      <x:c r="Q78" s="18" t="str">
        <x:v>Electrical / Electronic Equipment</x:v>
      </x:c>
      <x:c r="R78" s="18" t="str"/>
      <x:c r="S78" s="18" t="str">
        <x:v>uk_weee_2024</x:v>
      </x:c>
      <x:c r="T78" s="18" t="str">
        <x:v>collection_recycling_flow</x:v>
      </x:c>
      <x:c r="U78" s="18" t="str">
        <x:v>MATERIAL_FOCUS_WEEE_2024</x:v>
      </x:c>
      <x:c r="V78" s="18" t="str">
        <x:v>Material Focus — UK e-waste data trends 2018–2024</x:v>
      </x:c>
      <x:c r="W78" s="18" t="str">
        <x:v>https://materialfocus.org.uk/report-and-research/uk-e-waste-data-trends-2018-2024/</x:v>
      </x:c>
      <x:c r="X78" s="18" t="str">
        <x:v>Total WEEE collections ~496 kt in 2024</x:v>
      </x:c>
      <x:c r="Y78" s="18" t="str">
        <x:v>Use the Environment Agency WEEE dataset as the preferred machine-readable update source in future.</x:v>
      </x:c>
      <x:c r="Z78" s="18" t="str"/>
      <x:c r="AA78" s="18" t="str">
        <x:v>high</x:v>
      </x:c>
      <x:c r="AB78" s="18" t="str">
        <x:v>2026-07-24</x:v>
      </x:c>
      <x:c r="AC78" s="18" t="str"/>
      <x:c r="AD78" s="18" t="str"/>
      <x:c r="AE78" s="20" t="str"/>
      <x:c r="AF78" s="18" t="str">
        <x:v>https://materialfocus.org.uk/report-and-research/uk-e-waste-data-trends-2018-2024/ | https://www.gov.uk/government/statistical-data-sets/waste-electrical-and-electronic-equipment-weee-in-the-uk</x:v>
      </x:c>
      <x:c r="AG78" s="18" t="str">
        <x:v>Electrical and electronic waste formally collected</x:v>
      </x:c>
      <x:c r="AH78" s="18" t="str">
        <x:v>The reported mass of electrical and electronic waste entering formal collection in 2024; collection does not prove that all material was successfully recycled.</x:v>
      </x:c>
      <x:c r="AI78" s="18" t="str">
        <x:v>Electrical and electronic products contain valuable and hazardous materials. Formal collection can improve recovery and reduce unsafe disposal, but collection does not guarantee complete material recycling.</x:v>
      </x:c>
      <x:c r="AJ78" s="18" t="str">
        <x:v>Collection only</x:v>
      </x:c>
      <x:c r="AK78" s="18" t="str">
        <x:v>0.496 Mt electrical and electronic waste | Formally collected | UK, 2024</x:v>
      </x:c>
      <x:c r="AL78" s="18" t="str">
        <x:v>Material Focus — UK e-waste data trends 2018–2024 (data: 2024)</x:v>
      </x:c>
    </x:row>
    <x:row r="79">
      <x:c r="A79" s="18" t="str">
        <x:v>UK-WEEE-003</x:v>
      </x:c>
      <x:c r="B79" s="18" t="str">
        <x:v>End of Use</x:v>
      </x:c>
      <x:c r="C79" s="18" t="str">
        <x:v>Other / Uncaptured WEEE</x:v>
      </x:c>
      <x:c r="D79" s="18" t="str"/>
      <x:c r="E79" s="18" t="str"/>
      <x:c r="F79" s="18" t="str">
        <x:v>Estimated WEEE outside formal collection</x:v>
      </x:c>
      <x:c r="G79" s="18" t="str">
        <x:v>Material</x:v>
      </x:c>
      <x:c r="H79" s="20" t="str"/>
      <x:c r="I79" s="18" t="str">
        <x:v>Mt</x:v>
      </x:c>
      <x:c r="J79" s="18" t="str">
        <x:v>mixed benchmark</x:v>
      </x:c>
      <x:c r="K79" s="18" t="str">
        <x:v>UK</x:v>
      </x:c>
      <x:c r="L79" s="18" t="str">
        <x:v>derived_estimate_mixed_year</x:v>
      </x:c>
      <x:c r="M79" s="18" t="str">
        <x:v>true</x:v>
      </x:c>
      <x:c r="N79" s="18" t="str">
        <x:v>false</x:v>
      </x:c>
      <x:c r="O79" s="18" t="str">
        <x:v>secondary</x:v>
      </x:c>
      <x:c r="P79" s="18" t="str">
        <x:v>weee</x:v>
      </x:c>
      <x:c r="Q79" s="18" t="str">
        <x:v>Electrical / Electronic Equipment</x:v>
      </x:c>
      <x:c r="R79" s="18" t="str"/>
      <x:c r="S79" s="18" t="str">
        <x:v>uk_weee_estimate</x:v>
      </x:c>
      <x:c r="T79" s="18" t="str">
        <x:v>estimated_gap</x:v>
      </x:c>
      <x:c r="U79" s="18" t="str">
        <x:v>UN_EWASTE+MATERIAL_FOCUS</x:v>
      </x:c>
      <x:c r="V79" s="18" t="str">
        <x:v>Global E-waste Monitor estimate + Material Focus collection trend</x:v>
      </x:c>
      <x:c r="W79" s="18" t="str">
        <x:v>https://materialfocus.org.uk/report-and-research/uk-e-waste-data-trends-2018-2024/</x:v>
      </x:c>
      <x:c r="X79" s="18" t="str"/>
      <x:c r="Y79" s="18" t="str">
        <x:v>Illustrative gap = 1.6 Mt generation benchmark − 0.496 Mt 2024 formal collections = 1.104 Mt. Years/methods differ, so treat only as a scale indicator, not a formal balance.</x:v>
      </x:c>
      <x:c r="Z79" s="18" t="str"/>
      <x:c r="AA79" s="18" t="str">
        <x:v>low</x:v>
      </x:c>
      <x:c r="AB79" s="18" t="str">
        <x:v>2026-07-24</x:v>
      </x:c>
      <x:c r="AC79" s="18" t="str"/>
      <x:c r="AD79" s="18" t="str"/>
      <x:c r="AE79" s="20" t="n">
        <x:v>1.104</x:v>
      </x:c>
      <x:c r="AF79" s="18" t="str">
        <x:v>https://publications.parliament.uk/pa/cm5801/cmselect/cmenvaud/220/22010.htm | https://materialfocus.org.uk/report-and-research/uk-e-waste-data-trends-2018-2024/</x:v>
      </x:c>
      <x:c r="AG79" s="18" t="str">
        <x:v>Electrical and electronic waste outside formal collection</x:v>
      </x:c>
      <x:c r="AH79" s="18" t="str">
        <x:v>An illustrative estimate of electrical and electronic waste outside formal collection, calculated from mixed-year generation and collection evidence.</x:v>
      </x:c>
      <x:c r="AI79" s="18" t="str">
        <x:v>Electrical and electronic products contain valuable and hazardous materials. Formal collection can improve recovery and reduce unsafe disposal, but collection does not guarantee complete material recycling.</x:v>
      </x:c>
      <x:c r="AJ79" s="18" t="str">
        <x:v>Recovery unspecified</x:v>
      </x:c>
      <x:c r="AK79" s="18" t="str">
        <x:v>1.104 Mt electrical and electronic waste | Outside formal collection estimate</x:v>
      </x:c>
      <x:c r="AL79" s="18" t="str">
        <x:v>Global E-waste Monitor estimate + Material Focus collection trend (data period: mixed benchmark; checked: 2026-07-24)</x:v>
      </x:c>
    </x:row>
    <x:row r="80">
      <x:c r="A80" s="18" t="str">
        <x:v>UK-WEEE-D001</x:v>
      </x:c>
      <x:c r="B80" s="18" t="str">
        <x:v>End of Use</x:v>
      </x:c>
      <x:c r="C80" s="18" t="str">
        <x:v>Landfill / Incineration</x:v>
      </x:c>
      <x:c r="D80" s="18" t="str"/>
      <x:c r="E80" s="18" t="str"/>
      <x:c r="F80" s="18" t="str">
        <x:v>WEEE discarded in domestic bins</x:v>
      </x:c>
      <x:c r="G80" s="18" t="str">
        <x:v>Material</x:v>
      </x:c>
      <x:c r="H80" s="20" t="n">
        <x:v>0.155</x:v>
      </x:c>
      <x:c r="I80" s="18" t="str">
        <x:v>Mt</x:v>
      </x:c>
      <x:c r="J80" s="18" t="str">
        <x:v>2017</x:v>
      </x:c>
      <x:c r="K80" s="18" t="str">
        <x:v>UK</x:v>
      </x:c>
      <x:c r="L80" s="18" t="str">
        <x:v>source_supported_estimate</x:v>
      </x:c>
      <x:c r="M80" s="18" t="str">
        <x:v>true</x:v>
      </x:c>
      <x:c r="N80" s="18" t="str">
        <x:v>false</x:v>
      </x:c>
      <x:c r="O80" s="18" t="str">
        <x:v>drilldown</x:v>
      </x:c>
      <x:c r="P80" s="18" t="str">
        <x:v>weee_routes</x:v>
      </x:c>
      <x:c r="Q80" s="18" t="str">
        <x:v>Electrical / Electronic Equipment</x:v>
      </x:c>
      <x:c r="R80" s="18" t="str"/>
      <x:c r="S80" s="18" t="str">
        <x:v>uk_weee_routes_historical</x:v>
      </x:c>
      <x:c r="T80" s="18" t="str">
        <x:v>constituent_drilldown</x:v>
      </x:c>
      <x:c r="U80" s="18" t="str">
        <x:v>UK_PARLIAMENT_WEEE</x:v>
      </x:c>
      <x:c r="V80" s="18" t="str">
        <x:v>UK Parliament Environmental Audit Committee</x:v>
      </x:c>
      <x:c r="W80" s="18" t="str">
        <x:v>https://publications.parliament.uk/pa/cm5801/cmselect/cmenvaud/220/22010.htm</x:v>
      </x:c>
      <x:c r="X80" s="18" t="str">
        <x:v>155,000 t thrown away in domestic bins in 2017</x:v>
      </x:c>
      <x:c r="Y80" s="18" t="str"/>
      <x:c r="Z80" s="18" t="str"/>
      <x:c r="AA80" s="18" t="str">
        <x:v>high</x:v>
      </x:c>
      <x:c r="AB80" s="18" t="str">
        <x:v>2026-07-24</x:v>
      </x:c>
      <x:c r="AC80" s="18" t="str"/>
      <x:c r="AD80" s="18" t="str"/>
      <x:c r="AE80" s="20" t="str"/>
      <x:c r="AF80" s="18" t="str"/>
      <x:c r="AG80" s="18" t="str">
        <x:v>Electrical and electronic waste discarded in domestic bins</x:v>
      </x:c>
      <x:c r="AH80" s="18" t="str">
        <x:v>The estimated mass of electrical and electronic waste discarded in domestic bins.</x:v>
      </x:c>
      <x:c r="AI80" s="18" t="str">
        <x:v>Uncontrolled disposal can lose valuable metals and expose hazardous substances; the source quantifies the route rather than the resulting ecological damage.</x:v>
      </x:c>
      <x:c r="AJ80" s="18" t="str">
        <x:v>Not applicable</x:v>
      </x:c>
      <x:c r="AK80" s="18" t="str">
        <x:v>0.155 Mt electrical waste | Domestic bins | UK, 2017</x:v>
      </x:c>
      <x:c r="AL80" s="18" t="str">
        <x:v>UK Parliament Environmental Audit Committee (data: 2017)</x:v>
      </x:c>
    </x:row>
    <x:row r="81">
      <x:c r="A81" s="18" t="str">
        <x:v>UK-WEEE-D002</x:v>
      </x:c>
      <x:c r="B81" s="18" t="str">
        <x:v>End of Use</x:v>
      </x:c>
      <x:c r="C81" s="18" t="str">
        <x:v>Other / Uncaptured WEEE</x:v>
      </x:c>
      <x:c r="D81" s="18" t="str"/>
      <x:c r="E81" s="18" t="str"/>
      <x:c r="F81" s="18" t="str">
        <x:v>Commercial electrical waste in skips</x:v>
      </x:c>
      <x:c r="G81" s="18" t="str">
        <x:v>Material</x:v>
      </x:c>
      <x:c r="H81" s="20" t="n">
        <x:v>0.145</x:v>
      </x:c>
      <x:c r="I81" s="18" t="str">
        <x:v>Mt</x:v>
      </x:c>
      <x:c r="J81" s="18" t="str">
        <x:v>2017</x:v>
      </x:c>
      <x:c r="K81" s="18" t="str">
        <x:v>UK</x:v>
      </x:c>
      <x:c r="L81" s="18" t="str">
        <x:v>source_supported_estimate</x:v>
      </x:c>
      <x:c r="M81" s="18" t="str">
        <x:v>true</x:v>
      </x:c>
      <x:c r="N81" s="18" t="str">
        <x:v>false</x:v>
      </x:c>
      <x:c r="O81" s="18" t="str">
        <x:v>drilldown</x:v>
      </x:c>
      <x:c r="P81" s="18" t="str">
        <x:v>weee_routes</x:v>
      </x:c>
      <x:c r="Q81" s="18" t="str">
        <x:v>Electrical / Electronic Equipment</x:v>
      </x:c>
      <x:c r="R81" s="18" t="str"/>
      <x:c r="S81" s="18" t="str">
        <x:v>uk_weee_routes_historical</x:v>
      </x:c>
      <x:c r="T81" s="18" t="str">
        <x:v>constituent_drilldown</x:v>
      </x:c>
      <x:c r="U81" s="18" t="str">
        <x:v>UK_PARLIAMENT_WEEE</x:v>
      </x:c>
      <x:c r="V81" s="18" t="str">
        <x:v>UK Parliament Environmental Audit Committee</x:v>
      </x:c>
      <x:c r="W81" s="18" t="str">
        <x:v>https://publications.parliament.uk/pa/cm5801/cmselect/cmenvaud/220/22010.htm</x:v>
      </x:c>
      <x:c r="X81" s="18" t="str">
        <x:v>145,000 t commercial electrical waste in skips with no evidence of recycling in 2017</x:v>
      </x:c>
      <x:c r="Y81" s="18" t="str"/>
      <x:c r="Z81" s="18" t="str"/>
      <x:c r="AA81" s="18" t="str">
        <x:v>high</x:v>
      </x:c>
      <x:c r="AB81" s="18" t="str">
        <x:v>2026-07-24</x:v>
      </x:c>
      <x:c r="AC81" s="18" t="str"/>
      <x:c r="AD81" s="18" t="str"/>
      <x:c r="AE81" s="20" t="str"/>
      <x:c r="AF81" s="18" t="str"/>
      <x:c r="AG81" s="18" t="str">
        <x:v>Commercial electrical waste in skips</x:v>
      </x:c>
      <x:c r="AH81" s="18" t="str">
        <x:v>The estimated mass of commercial electrical waste placed in skips without evidence of recycling.</x:v>
      </x:c>
      <x:c r="AI81" s="18" t="str">
        <x:v>Uncontrolled disposal can lose valuable metals and expose hazardous substances; the source quantifies the route rather than the resulting ecological damage.</x:v>
      </x:c>
      <x:c r="AJ81" s="18" t="str">
        <x:v>Not applicable</x:v>
      </x:c>
      <x:c r="AK81" s="18" t="str">
        <x:v>0.145 Mt commercial electrical waste | Uncaptured route | UK, 2017</x:v>
      </x:c>
      <x:c r="AL81" s="18" t="str">
        <x:v>UK Parliament Environmental Audit Committee (data: 2017)</x:v>
      </x:c>
    </x:row>
    <x:row r="82">
      <x:c r="A82" s="18" t="str">
        <x:v>UK-ELV-001</x:v>
      </x:c>
      <x:c r="B82" s="18" t="str">
        <x:v>Use / Consumption</x:v>
      </x:c>
      <x:c r="C82" s="18" t="str">
        <x:v>End of Use</x:v>
      </x:c>
      <x:c r="D82" s="18" t="str"/>
      <x:c r="E82" s="18" t="str"/>
      <x:c r="F82" s="18" t="str">
        <x:v>End-of-life vehicles</x:v>
      </x:c>
      <x:c r="G82" s="18" t="str">
        <x:v>Material</x:v>
      </x:c>
      <x:c r="H82" s="20" t="n">
        <x:v>1.589882</x:v>
      </x:c>
      <x:c r="I82" s="18" t="str">
        <x:v>Mt</x:v>
      </x:c>
      <x:c r="J82" s="18" t="str">
        <x:v>2018</x:v>
      </x:c>
      <x:c r="K82" s="18" t="str">
        <x:v>UK</x:v>
      </x:c>
      <x:c r="L82" s="18" t="str">
        <x:v>source_supported</x:v>
      </x:c>
      <x:c r="M82" s="18" t="str">
        <x:v>true</x:v>
      </x:c>
      <x:c r="N82" s="18" t="str">
        <x:v>false</x:v>
      </x:c>
      <x:c r="O82" s="18" t="str">
        <x:v>primary</x:v>
      </x:c>
      <x:c r="P82" s="18" t="str">
        <x:v>vehicles</x:v>
      </x:c>
      <x:c r="Q82" s="18" t="str">
        <x:v>Vehicles / Transport Products</x:v>
      </x:c>
      <x:c r="R82" s="18" t="str">
        <x:v>true</x:v>
      </x:c>
      <x:c r="S82" s="18" t="str">
        <x:v>uk_elv_2018</x:v>
      </x:c>
      <x:c r="T82" s="18" t="str">
        <x:v>end_of_use_stream</x:v>
      </x:c>
      <x:c r="U82" s="18" t="str">
        <x:v>DEFRA_ELV_2018</x:v>
      </x:c>
      <x:c r="V82" s="18" t="str">
        <x:v>UK End-of-Life Vehicles Waste Statistics</x:v>
      </x:c>
      <x:c r="W82" s="18" t="str">
        <x:v>https://assets.publishing.service.gov.uk/media/5fe1e48bd3bf7f089f999887/elv-waste-statistics-2018.ods</x:v>
      </x:c>
      <x:c r="X82" s="18" t="str">
        <x:v>1,589,882 tonnes end-of-life vehicles</x:v>
      </x:c>
      <x:c r="Y82" s="18" t="str"/>
      <x:c r="Z82" s="18" t="str"/>
      <x:c r="AA82" s="18" t="str">
        <x:v>high</x:v>
      </x:c>
      <x:c r="AB82" s="18" t="str">
        <x:v>2026-07-24</x:v>
      </x:c>
      <x:c r="AC82" s="18" t="str"/>
      <x:c r="AD82" s="18" t="str"/>
      <x:c r="AE82" s="20" t="str"/>
      <x:c r="AF82" s="18" t="str"/>
      <x:c r="AG82" s="18" t="str">
        <x:v>End-of-life vehicles</x:v>
      </x:c>
      <x:c r="AH82" s="18" t="str">
        <x:v>The reported total mass of vehicles entering the UK end-of-life vehicle system.</x:v>
      </x:c>
      <x:c r="AI82" s="18" t="str">
        <x:v>Vehicles contain large material stocks and hazardous fluids. Direct component reuse retains more value than shredding, while recycling still requires sorting and reprocessing.</x:v>
      </x:c>
      <x:c r="AJ82" s="18" t="str">
        <x:v>Not applicable</x:v>
      </x:c>
      <x:c r="AK82" s="18" t="str">
        <x:v>1.59 Mt end-of-life vehicles | UK, 2018</x:v>
      </x:c>
      <x:c r="AL82" s="18" t="str">
        <x:v>UK End-of-Life Vehicles Waste Statistics (data: 2018)</x:v>
      </x:c>
    </x:row>
    <x:row r="83">
      <x:c r="A83" s="18" t="str">
        <x:v>UK-ELV-002</x:v>
      </x:c>
      <x:c r="B83" s="18" t="str">
        <x:v>End of Use</x:v>
      </x:c>
      <x:c r="C83" s="18" t="str">
        <x:v>Reuse</x:v>
      </x:c>
      <x:c r="D83" s="18" t="str"/>
      <x:c r="E83" s="18" t="str"/>
      <x:c r="F83" s="18" t="str">
        <x:v>ELV reuse</x:v>
      </x:c>
      <x:c r="G83" s="18" t="str">
        <x:v>Material</x:v>
      </x:c>
      <x:c r="H83" s="20" t="n">
        <x:v>0.039883</x:v>
      </x:c>
      <x:c r="I83" s="18" t="str">
        <x:v>Mt</x:v>
      </x:c>
      <x:c r="J83" s="18" t="str">
        <x:v>2018</x:v>
      </x:c>
      <x:c r="K83" s="18" t="str">
        <x:v>UK</x:v>
      </x:c>
      <x:c r="L83" s="18" t="str">
        <x:v>source_supported</x:v>
      </x:c>
      <x:c r="M83" s="18" t="str">
        <x:v>true</x:v>
      </x:c>
      <x:c r="N83" s="18" t="str">
        <x:v>false</x:v>
      </x:c>
      <x:c r="O83" s="18" t="str">
        <x:v>secondary</x:v>
      </x:c>
      <x:c r="P83" s="18" t="str">
        <x:v>vehicles</x:v>
      </x:c>
      <x:c r="Q83" s="18" t="str">
        <x:v>Vehicles / Transport Products</x:v>
      </x:c>
      <x:c r="R83" s="18" t="str"/>
      <x:c r="S83" s="18" t="str">
        <x:v>uk_elv_2018</x:v>
      </x:c>
      <x:c r="T83" s="18" t="str">
        <x:v>reuse_flow</x:v>
      </x:c>
      <x:c r="U83" s="18" t="str">
        <x:v>DEFRA_ELV_2018</x:v>
      </x:c>
      <x:c r="V83" s="18" t="str">
        <x:v>UK End-of-Life Vehicles Waste Statistics</x:v>
      </x:c>
      <x:c r="W83" s="18" t="str">
        <x:v>https://assets.publishing.service.gov.uk/media/5fe1e48bd3bf7f089f999887/elv-waste-statistics-2018.ods</x:v>
      </x:c>
      <x:c r="X83" s="18" t="str">
        <x:v>39,883 tonnes reuse</x:v>
      </x:c>
      <x:c r="Y83" s="18" t="str"/>
      <x:c r="Z83" s="18" t="str"/>
      <x:c r="AA83" s="18" t="str">
        <x:v>high</x:v>
      </x:c>
      <x:c r="AB83" s="18" t="str">
        <x:v>2026-07-24</x:v>
      </x:c>
      <x:c r="AC83" s="18" t="str"/>
      <x:c r="AD83" s="18" t="str"/>
      <x:c r="AE83" s="20" t="str"/>
      <x:c r="AF83" s="18" t="str"/>
      <x:c r="AG83" s="18" t="str">
        <x:v>End-of-life vehicle reuse</x:v>
      </x:c>
      <x:c r="AH83" s="18" t="str">
        <x:v>The reported mass classified as reuse within the UK end-of-life vehicle system; the dataset does not identify the individual reused parts.</x:v>
      </x:c>
      <x:c r="AI83" s="18" t="str">
        <x:v>Vehicles contain large material stocks and hazardous fluids. Direct component reuse retains more value than shredding, while recycling still requires sorting and reprocessing.</x:v>
      </x:c>
      <x:c r="AJ83" s="18" t="str">
        <x:v>Direct reuse</x:v>
      </x:c>
      <x:c r="AK83" s="18" t="str">
        <x:v>39,883 tonnes vehicle reuse | UK, 2018</x:v>
      </x:c>
      <x:c r="AL83" s="18" t="str">
        <x:v>UK End-of-Life Vehicles Waste Statistics (data: 2018)</x:v>
      </x:c>
    </x:row>
    <x:row r="84">
      <x:c r="A84" s="18" t="str">
        <x:v>UK-ELV-003</x:v>
      </x:c>
      <x:c r="B84" s="18" t="str">
        <x:v>End of Use</x:v>
      </x:c>
      <x:c r="C84" s="18" t="str">
        <x:v>Material Processing</x:v>
      </x:c>
      <x:c r="D84" s="18" t="str"/>
      <x:c r="E84" s="18" t="str"/>
      <x:c r="F84" s="18" t="str">
        <x:v>ELV recycling</x:v>
      </x:c>
      <x:c r="G84" s="18" t="str">
        <x:v>Material</x:v>
      </x:c>
      <x:c r="H84" s="20" t="n">
        <x:v>1.314125</x:v>
      </x:c>
      <x:c r="I84" s="18" t="str">
        <x:v>Mt</x:v>
      </x:c>
      <x:c r="J84" s="18" t="str">
        <x:v>2018</x:v>
      </x:c>
      <x:c r="K84" s="18" t="str">
        <x:v>UK</x:v>
      </x:c>
      <x:c r="L84" s="18" t="str">
        <x:v>source_supported</x:v>
      </x:c>
      <x:c r="M84" s="18" t="str">
        <x:v>true</x:v>
      </x:c>
      <x:c r="N84" s="18" t="str">
        <x:v>false</x:v>
      </x:c>
      <x:c r="O84" s="18" t="str">
        <x:v>secondary</x:v>
      </x:c>
      <x:c r="P84" s="18" t="str">
        <x:v>vehicles</x:v>
      </x:c>
      <x:c r="Q84" s="18" t="str">
        <x:v>Vehicles / Transport Products</x:v>
      </x:c>
      <x:c r="R84" s="18" t="str"/>
      <x:c r="S84" s="18" t="str">
        <x:v>uk_elv_2018</x:v>
      </x:c>
      <x:c r="T84" s="18" t="str">
        <x:v>recycling_flow</x:v>
      </x:c>
      <x:c r="U84" s="18" t="str">
        <x:v>DEFRA_ELV_2018</x:v>
      </x:c>
      <x:c r="V84" s="18" t="str">
        <x:v>UK End-of-Life Vehicles Waste Statistics</x:v>
      </x:c>
      <x:c r="W84" s="18" t="str">
        <x:v>https://assets.publishing.service.gov.uk/media/5fe1e48bd3bf7f089f999887/elv-waste-statistics-2018.ods</x:v>
      </x:c>
      <x:c r="X84" s="18" t="str">
        <x:v>1,314,125 tonnes recycling</x:v>
      </x:c>
      <x:c r="Y84" s="18" t="str"/>
      <x:c r="Z84" s="18" t="str"/>
      <x:c r="AA84" s="18" t="str">
        <x:v>high</x:v>
      </x:c>
      <x:c r="AB84" s="18" t="str">
        <x:v>2026-07-24</x:v>
      </x:c>
      <x:c r="AC84" s="18" t="str"/>
      <x:c r="AD84" s="18" t="str"/>
      <x:c r="AE84" s="20" t="str"/>
      <x:c r="AF84" s="18" t="str"/>
      <x:c r="AG84" s="18" t="str">
        <x:v>End-of-life vehicle recycling</x:v>
      </x:c>
      <x:c r="AH84" s="18" t="str">
        <x:v>The reported mass of end-of-life vehicle material classified as recycled.</x:v>
      </x:c>
      <x:c r="AI84" s="18" t="str">
        <x:v>Vehicles contain large material stocks and hazardous fluids. Direct component reuse retains more value than shredding, while recycling still requires sorting and reprocessing.</x:v>
      </x:c>
      <x:c r="AJ84" s="18" t="str">
        <x:v>Recycling</x:v>
      </x:c>
      <x:c r="AK84" s="18" t="str">
        <x:v>1.314 Mt vehicle material recycled | UK, 2018</x:v>
      </x:c>
      <x:c r="AL84" s="18" t="str">
        <x:v>UK End-of-Life Vehicles Waste Statistics (data: 2018)</x:v>
      </x:c>
    </x:row>
    <x:row r="85">
      <x:c r="A85" s="18" t="str">
        <x:v>UK-ELV-004</x:v>
      </x:c>
      <x:c r="B85" s="18" t="str">
        <x:v>End of Use</x:v>
      </x:c>
      <x:c r="C85" s="18" t="str">
        <x:v>Other Treatment / Losses</x:v>
      </x:c>
      <x:c r="D85" s="18" t="str"/>
      <x:c r="E85" s="18" t="str"/>
      <x:c r="F85" s="18" t="str">
        <x:v>ELV non-reuse/non-recycling remainder</x:v>
      </x:c>
      <x:c r="G85" s="18" t="str">
        <x:v>Material</x:v>
      </x:c>
      <x:c r="H85" s="20" t="str"/>
      <x:c r="I85" s="18" t="str">
        <x:v>Mt</x:v>
      </x:c>
      <x:c r="J85" s="18" t="str">
        <x:v>2018</x:v>
      </x:c>
      <x:c r="K85" s="18" t="str">
        <x:v>UK</x:v>
      </x:c>
      <x:c r="L85" s="18" t="str">
        <x:v>derived_from_source_supported</x:v>
      </x:c>
      <x:c r="M85" s="18" t="str">
        <x:v>true</x:v>
      </x:c>
      <x:c r="N85" s="18" t="str">
        <x:v>false</x:v>
      </x:c>
      <x:c r="O85" s="18" t="str">
        <x:v>secondary</x:v>
      </x:c>
      <x:c r="P85" s="18" t="str">
        <x:v>vehicles</x:v>
      </x:c>
      <x:c r="Q85" s="18" t="str">
        <x:v>Vehicles / Transport Products</x:v>
      </x:c>
      <x:c r="R85" s="18" t="str"/>
      <x:c r="S85" s="18" t="str">
        <x:v>uk_elv_2018</x:v>
      </x:c>
      <x:c r="T85" s="18" t="str">
        <x:v>derived_terminal_flow</x:v>
      </x:c>
      <x:c r="U85" s="18" t="str">
        <x:v>DEFRA_ELV_2018</x:v>
      </x:c>
      <x:c r="V85" s="18" t="str">
        <x:v>UK End-of-Life Vehicles Waste Statistics</x:v>
      </x:c>
      <x:c r="W85" s="18" t="str">
        <x:v>https://assets.publishing.service.gov.uk/media/5fe1e48bd3bf7f089f999887/elv-waste-statistics-2018.ods</x:v>
      </x:c>
      <x:c r="X85" s="18" t="str"/>
      <x:c r="Y85" s="18" t="str">
        <x:v>Derived = 1.589882 − 0.039883 − 1.314125 = 0.235874 Mt. May include recovery/disposal routes not represented separately.</x:v>
      </x:c>
      <x:c r="Z85" s="18" t="str"/>
      <x:c r="AA85" s="18" t="str">
        <x:v>high</x:v>
      </x:c>
      <x:c r="AB85" s="18" t="str">
        <x:v>2026-07-24</x:v>
      </x:c>
      <x:c r="AC85" s="18" t="str"/>
      <x:c r="AD85" s="18" t="str"/>
      <x:c r="AE85" s="20" t="n">
        <x:v>0.235874</x:v>
      </x:c>
      <x:c r="AF85" s="18" t="str">
        <x:v>https://assets.publishing.service.gov.uk/media/5fe1e48bd3bf7f089f999887/elv-waste-statistics-2018.ods</x:v>
      </x:c>
      <x:c r="AG85" s="18" t="str">
        <x:v>End-of-life vehicle non-reuse/non-recycling remainder</x:v>
      </x:c>
      <x:c r="AH85" s="18" t="str">
        <x:v>The derived remainder of end-of-life vehicle mass not classified as reuse or recycling.</x:v>
      </x:c>
      <x:c r="AI85" s="18" t="str">
        <x:v>Vehicles contain large material stocks and hazardous fluids. Direct component reuse retains more value than shredding, while recycling still requires sorting and reprocessing.</x:v>
      </x:c>
      <x:c r="AJ85" s="18" t="str">
        <x:v>Recovery unspecified</x:v>
      </x:c>
      <x:c r="AK85" s="18" t="str">
        <x:v>0.236 Mt vehicle material | Other treatment or loss | UK, 2018</x:v>
      </x:c>
      <x:c r="AL85" s="18" t="str">
        <x:v>UK End-of-Life Vehicles Waste Statistics (data: 2018)</x:v>
      </x:c>
    </x:row>
    <x:row r="86">
      <x:c r="A86" s="18" t="str">
        <x:v>UK-CDW-001</x:v>
      </x:c>
      <x:c r="B86" s="18" t="str">
        <x:v>Use / Consumption</x:v>
      </x:c>
      <x:c r="C86" s="18" t="str">
        <x:v>End of Use</x:v>
      </x:c>
      <x:c r="D86" s="18" t="str"/>
      <x:c r="E86" s="18" t="str"/>
      <x:c r="F86" s="18" t="str">
        <x:v>Non-hazardous construction &amp; demolition waste</x:v>
      </x:c>
      <x:c r="G86" s="18" t="str">
        <x:v>Material</x:v>
      </x:c>
      <x:c r="H86" s="20" t="n">
        <x:v>59.4</x:v>
      </x:c>
      <x:c r="I86" s="18" t="str">
        <x:v>Mt</x:v>
      </x:c>
      <x:c r="J86" s="18" t="str">
        <x:v>2020</x:v>
      </x:c>
      <x:c r="K86" s="18" t="str">
        <x:v>UK</x:v>
      </x:c>
      <x:c r="L86" s="18" t="str">
        <x:v>mixed_stage_proxy</x:v>
      </x:c>
      <x:c r="M86" s="18" t="str">
        <x:v>true</x:v>
      </x:c>
      <x:c r="N86" s="18" t="str">
        <x:v>false</x:v>
      </x:c>
      <x:c r="O86" s="18" t="str">
        <x:v>drilldown</x:v>
      </x:c>
      <x:c r="P86" s="18" t="str">
        <x:v>built_structures_eou</x:v>
      </x:c>
      <x:c r="Q86" s="18" t="str">
        <x:v>Built Structures</x:v>
      </x:c>
      <x:c r="R86" s="18" t="str">
        <x:v>false</x:v>
      </x:c>
      <x:c r="S86" s="18" t="str">
        <x:v>uk_cd_2020</x:v>
      </x:c>
      <x:c r="T86" s="18" t="str">
        <x:v>contextual_large_stream</x:v>
      </x:c>
      <x:c r="U86" s="18" t="str">
        <x:v>DEFRA_UK_WASTE_2025</x:v>
      </x:c>
      <x:c r="V86" s="18" t="str">
        <x:v>Defra UK statistics on waste</x:v>
      </x:c>
      <x:c r="W86" s="18" t="str">
        <x:v>https://www.gov.uk/government/statistics/uk-waste-data/uk-statistics-on-waste</x:v>
      </x:c>
      <x:c r="X86" s="18" t="str">
        <x:v>UK 2020 non-hazardous C&amp;D waste 59.4 Mt</x:v>
      </x:c>
      <x:c r="Y86" s="18" t="str">
        <x:v>C&amp;D includes construction-stage and demolition/end-of-life waste. It is shown only as a drill-down/context stream and must NOT be interpreted as 59.4 Mt of buildings reaching End of Use.</x:v>
      </x:c>
      <x:c r="Z86" s="18" t="str"/>
      <x:c r="AA86" s="18" t="str">
        <x:v>low for Use→End mapping</x:v>
      </x:c>
      <x:c r="AB86" s="18" t="str">
        <x:v>2026-07-24</x:v>
      </x:c>
      <x:c r="AC86" s="18" t="str"/>
      <x:c r="AD86" s="18" t="str"/>
      <x:c r="AE86" s="20" t="str"/>
      <x:c r="AF86" s="18" t="str"/>
      <x:c r="AG86" s="18" t="str">
        <x:v>Non-hazardous construction and demolition waste</x:v>
      </x:c>
      <x:c r="AH86" s="18" t="str">
        <x:v>The reported mass of non-hazardous construction and demolition waste, combining construction-stage and demolition material.</x:v>
      </x:c>
      <x:c r="AI86" s="18" t="str">
        <x:v>Construction and demolition flows are large and can create dust, transport, land and resource impacts. Recovery may include low-grade aggregate use rather than direct component reuse.</x:v>
      </x:c>
      <x:c r="AJ86" s="18" t="str">
        <x:v>Not applicable</x:v>
      </x:c>
      <x:c r="AK86" s="18" t="str">
        <x:v>59.4 Mt construction and demolition waste | UK, 2020</x:v>
      </x:c>
      <x:c r="AL86" s="18" t="str">
        <x:v>Defra UK statistics on waste (data: 2020)</x:v>
      </x:c>
    </x:row>
    <x:row r="87">
      <x:c r="A87" s="18" t="str">
        <x:v>UK-CDW-002</x:v>
      </x:c>
      <x:c r="B87" s="18" t="str">
        <x:v>End of Use</x:v>
      </x:c>
      <x:c r="C87" s="18" t="str">
        <x:v>Material Processing</x:v>
      </x:c>
      <x:c r="D87" s="18" t="str"/>
      <x:c r="E87" s="18" t="str"/>
      <x:c r="F87" s="18" t="str">
        <x:v>C&amp;D recovered</x:v>
      </x:c>
      <x:c r="G87" s="18" t="str">
        <x:v>Material</x:v>
      </x:c>
      <x:c r="H87" s="20" t="n">
        <x:v>55</x:v>
      </x:c>
      <x:c r="I87" s="18" t="str">
        <x:v>Mt</x:v>
      </x:c>
      <x:c r="J87" s="18" t="str">
        <x:v>2020</x:v>
      </x:c>
      <x:c r="K87" s="18" t="str">
        <x:v>UK</x:v>
      </x:c>
      <x:c r="L87" s="18" t="str">
        <x:v>source_supported</x:v>
      </x:c>
      <x:c r="M87" s="18" t="str">
        <x:v>true</x:v>
      </x:c>
      <x:c r="N87" s="18" t="str">
        <x:v>false</x:v>
      </x:c>
      <x:c r="O87" s="18" t="str">
        <x:v>drilldown</x:v>
      </x:c>
      <x:c r="P87" s="18" t="str">
        <x:v>built_structures_eou</x:v>
      </x:c>
      <x:c r="Q87" s="18" t="str">
        <x:v>Construction &amp; Demolition Material</x:v>
      </x:c>
      <x:c r="R87" s="18" t="str"/>
      <x:c r="S87" s="18" t="str">
        <x:v>uk_cd_2020</x:v>
      </x:c>
      <x:c r="T87" s="18" t="str">
        <x:v>recovery_stream</x:v>
      </x:c>
      <x:c r="U87" s="18" t="str">
        <x:v>DEFRA_UK_WASTE_2025</x:v>
      </x:c>
      <x:c r="V87" s="18" t="str">
        <x:v>Defra UK statistics on waste</x:v>
      </x:c>
      <x:c r="W87" s="18" t="str">
        <x:v>https://www.gov.uk/government/statistics/uk-waste-data/uk-statistics-on-waste</x:v>
      </x:c>
      <x:c r="X87" s="18" t="str">
        <x:v>55.0 Mt recovered from 59.4 Mt non-hazardous C&amp;D waste</x:v>
      </x:c>
      <x:c r="Y87" s="18" t="str">
        <x:v>Recovery is broad and may include backfilling/aggregate routes; not necessarily closed-loop building-to-building reuse.</x:v>
      </x:c>
      <x:c r="Z87" s="18" t="str"/>
      <x:c r="AA87" s="18" t="str">
        <x:v>high for waste statistic</x:v>
      </x:c>
      <x:c r="AB87" s="18" t="str">
        <x:v>2026-07-24</x:v>
      </x:c>
      <x:c r="AC87" s="18" t="str"/>
      <x:c r="AD87" s="18" t="str"/>
      <x:c r="AE87" s="20" t="str"/>
      <x:c r="AF87" s="18" t="str"/>
      <x:c r="AG87" s="18" t="str">
        <x:v>Construction and demolition material recovered</x:v>
      </x:c>
      <x:c r="AH87" s="18" t="str">
        <x:v>The reported mass of construction and demolition waste classed as recovered; recovery may include aggregate use or backfilling rather than direct building-component reuse.</x:v>
      </x:c>
      <x:c r="AI87" s="18" t="str">
        <x:v>Construction and demolition flows are large and can create dust, transport, land and resource impacts. Recovery may include low-grade aggregate use rather than direct component reuse.</x:v>
      </x:c>
      <x:c r="AJ87" s="18" t="str">
        <x:v>Recovery unspecified</x:v>
      </x:c>
      <x:c r="AK87" s="18" t="str">
        <x:v>55 Mt construction and demolition material recovered | UK, 2020</x:v>
      </x:c>
      <x:c r="AL87" s="18" t="str">
        <x:v>Defra UK statistics on waste (data: 2020)</x:v>
      </x:c>
    </x:row>
    <x:row r="88">
      <x:c r="A88" s="18" t="str">
        <x:v>UK-CDW-003</x:v>
      </x:c>
      <x:c r="B88" s="18" t="str">
        <x:v>End of Use</x:v>
      </x:c>
      <x:c r="C88" s="18" t="str">
        <x:v>Other Treatment / Losses</x:v>
      </x:c>
      <x:c r="D88" s="18" t="str"/>
      <x:c r="E88" s="18" t="str"/>
      <x:c r="F88" s="18" t="str">
        <x:v>C&amp;D unrecovered remainder</x:v>
      </x:c>
      <x:c r="G88" s="18" t="str">
        <x:v>Material</x:v>
      </x:c>
      <x:c r="H88" s="20" t="str"/>
      <x:c r="I88" s="18" t="str">
        <x:v>Mt</x:v>
      </x:c>
      <x:c r="J88" s="18" t="str">
        <x:v>2020</x:v>
      </x:c>
      <x:c r="K88" s="18" t="str">
        <x:v>UK</x:v>
      </x:c>
      <x:c r="L88" s="18" t="str">
        <x:v>derived_from_source_supported</x:v>
      </x:c>
      <x:c r="M88" s="18" t="str">
        <x:v>true</x:v>
      </x:c>
      <x:c r="N88" s="18" t="str">
        <x:v>false</x:v>
      </x:c>
      <x:c r="O88" s="18" t="str">
        <x:v>drilldown</x:v>
      </x:c>
      <x:c r="P88" s="18" t="str">
        <x:v>built_structures_eou</x:v>
      </x:c>
      <x:c r="Q88" s="18" t="str">
        <x:v>Construction &amp; Demolition Material</x:v>
      </x:c>
      <x:c r="R88" s="18" t="str"/>
      <x:c r="S88" s="18" t="str">
        <x:v>uk_cd_2020</x:v>
      </x:c>
      <x:c r="T88" s="18" t="str">
        <x:v>derived_terminal_flow</x:v>
      </x:c>
      <x:c r="U88" s="18" t="str">
        <x:v>DEFRA_UK_WASTE_2025</x:v>
      </x:c>
      <x:c r="V88" s="18" t="str">
        <x:v>Defra UK statistics on waste</x:v>
      </x:c>
      <x:c r="W88" s="18" t="str">
        <x:v>https://www.gov.uk/government/statistics/uk-waste-data/uk-statistics-on-waste</x:v>
      </x:c>
      <x:c r="X88" s="18" t="str"/>
      <x:c r="Y88" s="18" t="str">
        <x:v>Derived = 59.4 − 55.0 = 4.4 Mt.</x:v>
      </x:c>
      <x:c r="Z88" s="18" t="str"/>
      <x:c r="AA88" s="18" t="str">
        <x:v>high</x:v>
      </x:c>
      <x:c r="AB88" s="18" t="str">
        <x:v>2026-07-24</x:v>
      </x:c>
      <x:c r="AC88" s="18" t="str"/>
      <x:c r="AD88" s="18" t="str"/>
      <x:c r="AE88" s="20" t="n">
        <x:v>4.4</x:v>
      </x:c>
      <x:c r="AF88" s="18" t="str">
        <x:v>https://www.gov.uk/government/statistics/uk-waste-data/uk-statistics-on-waste</x:v>
      </x:c>
      <x:c r="AG88" s="18" t="str">
        <x:v>Construction and demolition unrecovered remainder</x:v>
      </x:c>
      <x:c r="AH88" s="18" t="str">
        <x:v>The derived remainder of non-hazardous construction and demolition waste not recorded as recovered.</x:v>
      </x:c>
      <x:c r="AI88" s="18" t="str">
        <x:v>Construction and demolition flows are large and can create dust, transport, land and resource impacts. Recovery may include low-grade aggregate use rather than direct component reuse.</x:v>
      </x:c>
      <x:c r="AJ88" s="18" t="str">
        <x:v>Recovery unspecified</x:v>
      </x:c>
      <x:c r="AK88" s="18" t="str">
        <x:v>4.4 Mt construction and demolition material | Unrecovered remainder | UK, 2020</x:v>
      </x:c>
      <x:c r="AL88" s="18" t="str">
        <x:v>Defra UK statistics on waste (data: 2020)</x:v>
      </x:c>
    </x:row>
    <x:row r="89">
      <x:c r="A89" s="18" t="str">
        <x:v>UK-INDW-001</x:v>
      </x:c>
      <x:c r="B89" s="18" t="str">
        <x:v>Fabrication / Manufacture</x:v>
      </x:c>
      <x:c r="C89" s="18" t="str">
        <x:v>Waste / Losses</x:v>
      </x:c>
      <x:c r="D89" s="18" t="str"/>
      <x:c r="E89" s="18" t="str"/>
      <x:c r="F89" s="18" t="str">
        <x:v>Industrial waste generation — broad proxy</x:v>
      </x:c>
      <x:c r="G89" s="18" t="str">
        <x:v>Material</x:v>
      </x:c>
      <x:c r="H89" s="20" t="n">
        <x:v>12.4</x:v>
      </x:c>
      <x:c r="I89" s="18" t="str">
        <x:v>Mt</x:v>
      </x:c>
      <x:c r="J89" s="18" t="str">
        <x:v>2020</x:v>
      </x:c>
      <x:c r="K89" s="18" t="str">
        <x:v>UK</x:v>
      </x:c>
      <x:c r="L89" s="18" t="str">
        <x:v>source_supported_broad_proxy</x:v>
      </x:c>
      <x:c r="M89" s="18" t="str">
        <x:v>true</x:v>
      </x:c>
      <x:c r="N89" s="18" t="str">
        <x:v>false</x:v>
      </x:c>
      <x:c r="O89" s="18" t="str">
        <x:v>secondary</x:v>
      </x:c>
      <x:c r="P89" s="18" t="str">
        <x:v>industrial_waste</x:v>
      </x:c>
      <x:c r="Q89" s="18" t="str">
        <x:v>Industrial Waste</x:v>
      </x:c>
      <x:c r="R89" s="18" t="str"/>
      <x:c r="S89" s="18" t="str">
        <x:v>uk_industrial_waste_2020</x:v>
      </x:c>
      <x:c r="T89" s="18" t="str">
        <x:v>broad_stage_proxy</x:v>
      </x:c>
      <x:c r="U89" s="18" t="str">
        <x:v>DEFRA_UK_WASTE_2025</x:v>
      </x:c>
      <x:c r="V89" s="18" t="str">
        <x:v>Defra UK statistics on waste</x:v>
      </x:c>
      <x:c r="W89" s="18" t="str">
        <x:v>https://www.gov.uk/government/statistics/uk-waste-data/uk-statistics-on-waste</x:v>
      </x:c>
      <x:c r="X89" s="18" t="str">
        <x:v>2020 UK industrial waste 12.4 Mt</x:v>
      </x:c>
      <x:c r="Y89" s="18" t="str">
        <x:v>Broad industrial-waste estimate across multiple industrial activities. It is a useful scale indicator for fabrication/process losses but cannot be assigned wholly to one material chain.</x:v>
      </x:c>
      <x:c r="Z89" s="18" t="str"/>
      <x:c r="AA89" s="18" t="str">
        <x:v>medium</x:v>
      </x:c>
      <x:c r="AB89" s="18" t="str">
        <x:v>2026-07-24</x:v>
      </x:c>
      <x:c r="AC89" s="18" t="str"/>
      <x:c r="AD89" s="18" t="str"/>
      <x:c r="AE89" s="20" t="str"/>
      <x:c r="AF89" s="18" t="str"/>
      <x:c r="AG89" s="18" t="str">
        <x:v>Industrial waste generation — broad proxy</x:v>
      </x:c>
      <x:c r="AH89" s="18" t="str">
        <x:v>A broad estimate of industrial waste generated across UK industrial activities.</x:v>
      </x:c>
      <x:c r="AI89" s="18" t="str">
        <x:v>Industrial waste represents material and energy already invested but not retained in useful products. Its ecological effect depends on composition, toxicity and treatment route.</x:v>
      </x:c>
      <x:c r="AJ89" s="18" t="str">
        <x:v>Not applicable</x:v>
      </x:c>
      <x:c r="AK89" s="18" t="str">
        <x:v>12.4 Mt industrial waste | Broad UK proxy | 2020</x:v>
      </x:c>
      <x:c r="AL89" s="18" t="str">
        <x:v>Defra UK statistics on waste (data: 2020)</x:v>
      </x:c>
    </x:row>
    <x:row r="90">
      <x:c r="A90" s="18" t="str">
        <x:v>UK-ENE-000</x:v>
      </x:c>
      <x:c r="B90" s="18" t="str">
        <x:v>Energy</x:v>
      </x:c>
      <x:c r="C90" s="18" t="str">
        <x:v>Industrial Transformation — total</x:v>
      </x:c>
      <x:c r="D90" s="18" t="str"/>
      <x:c r="E90" s="18" t="str"/>
      <x:c r="F90" s="18" t="str">
        <x:v>UK industrial final energy consumption</x:v>
      </x:c>
      <x:c r="G90" s="18" t="str">
        <x:v>Energy</x:v>
      </x:c>
      <x:c r="H90" s="20" t="n">
        <x:v>19.5</x:v>
      </x:c>
      <x:c r="I90" s="18" t="str">
        <x:v>Mtoe</x:v>
      </x:c>
      <x:c r="J90" s="18" t="str">
        <x:v>2024</x:v>
      </x:c>
      <x:c r="K90" s="18" t="str">
        <x:v>UK</x:v>
      </x:c>
      <x:c r="L90" s="18" t="str">
        <x:v>source_supported</x:v>
      </x:c>
      <x:c r="M90" s="18" t="str">
        <x:v>false</x:v>
      </x:c>
      <x:c r="N90" s="18" t="str">
        <x:v>false</x:v>
      </x:c>
      <x:c r="O90" s="18" t="str">
        <x:v>evidence_only</x:v>
      </x:c>
      <x:c r="P90" s="18" t="str">
        <x:v>energy_overview</x:v>
      </x:c>
      <x:c r="Q90" s="18" t="str"/>
      <x:c r="R90" s="18" t="str"/>
      <x:c r="S90" s="18" t="str">
        <x:v>uk_industry_energy_2024</x:v>
      </x:c>
      <x:c r="T90" s="18" t="str">
        <x:v>anchor_total</x:v>
      </x:c>
      <x:c r="U90" s="18" t="str">
        <x:v>DESNZ_ECUK_2025</x:v>
      </x:c>
      <x:c r="V90" s="18" t="str">
        <x:v>DESNZ Energy Consumption in the UK 2025</x:v>
      </x:c>
      <x:c r="W90" s="18" t="str">
        <x:v>https://www.gov.uk/government/statistics/energy-consumption-in-the-uk-2025/energy-consumption-in-the-uk-ecuk-2025</x:v>
      </x:c>
      <x:c r="X90" s="18" t="str">
        <x:v>Industry final energy consumption 19.5 Mtoe in 2024</x:v>
      </x:c>
      <x:c r="Y90" s="18" t="str">
        <x:v>Anchor total used to create explicit designer estimates for broad stages using MIT relational proportions.</x:v>
      </x:c>
      <x:c r="Z90" s="18" t="str"/>
      <x:c r="AA90" s="18" t="str">
        <x:v>high</x:v>
      </x:c>
      <x:c r="AB90" s="18" t="str">
        <x:v>2026-07-24</x:v>
      </x:c>
      <x:c r="AC90" s="18" t="str"/>
      <x:c r="AD90" s="18" t="str"/>
      <x:c r="AE90" s="20" t="str"/>
      <x:c r="AF90" s="18" t="str"/>
      <x:c r="AG90" s="18" t="str">
        <x:v>UK industrial final energy consumption</x:v>
      </x:c>
      <x:c r="AH90" s="18" t="str">
        <x:v>The reported total final energy consumed by UK industry across all fuels.</x:v>
      </x:c>
      <x:c r="AI90" s="18" t="str">
        <x:v>Industrial energy demand drives fuel extraction, infrastructure and emissions; impacts depend on fuel mix and cannot be compared directly with material mass.</x:v>
      </x:c>
      <x:c r="AJ90" s="18" t="str">
        <x:v>Not applicable</x:v>
      </x:c>
      <x:c r="AK90" s="18" t="str">
        <x:v>19.5 Mtoe industrial energy | UK, 2024</x:v>
      </x:c>
      <x:c r="AL90" s="18" t="str">
        <x:v>DESNZ Energy Consumption in the UK 2025 (data: 2024)</x:v>
      </x:c>
    </x:row>
    <x:row r="91">
      <x:c r="A91" s="18" t="str">
        <x:v>UK-ENE-STAGE-001</x:v>
      </x:c>
      <x:c r="B91" s="18" t="str">
        <x:v>Energy</x:v>
      </x:c>
      <x:c r="C91" s="18" t="str">
        <x:v>Extraction</x:v>
      </x:c>
      <x:c r="D91" s="18" t="str"/>
      <x:c r="E91" s="18" t="str"/>
      <x:c r="F91" s="18" t="str">
        <x:v>Estimated energy input — Extraction</x:v>
      </x:c>
      <x:c r="G91" s="18" t="str">
        <x:v>Energy</x:v>
      </x:c>
      <x:c r="H91" s="20" t="str"/>
      <x:c r="I91" s="18" t="str">
        <x:v>Mtoe</x:v>
      </x:c>
      <x:c r="J91" s="18" t="str">
        <x:v>2024</x:v>
      </x:c>
      <x:c r="K91" s="18" t="str">
        <x:v>UK</x:v>
      </x:c>
      <x:c r="L91" s="18" t="str">
        <x:v>designer_estimate_mit_scaled</x:v>
      </x:c>
      <x:c r="M91" s="18" t="str">
        <x:v>true</x:v>
      </x:c>
      <x:c r="N91" s="18" t="str">
        <x:v>false</x:v>
      </x:c>
      <x:c r="O91" s="18" t="str">
        <x:v>primary</x:v>
      </x:c>
      <x:c r="P91" s="18" t="str">
        <x:v>energy_stage_estimates</x:v>
      </x:c>
      <x:c r="Q91" s="18" t="str"/>
      <x:c r="R91" s="18" t="str"/>
      <x:c r="S91" s="18" t="str">
        <x:v>uk_industry_energy_2024_estimate</x:v>
      </x:c>
      <x:c r="T91" s="18" t="str">
        <x:v>estimated_stage_input</x:v>
      </x:c>
      <x:c r="U91" s="18" t="str">
        <x:v>DESNZ_ECUK+MIT_GLOBAL</x:v>
      </x:c>
      <x:c r="V91" s="18" t="str">
        <x:v>DESNZ ECUK 2025 + MIT global Sankey stage proportions</x:v>
      </x:c>
      <x:c r="W91" s="18" t="str">
        <x:v>https://www.gov.uk/government/statistics/energy-consumption-in-the-uk-2025/energy-consumption-in-the-uk-ecuk-2025</x:v>
      </x:c>
      <x:c r="X91" s="18" t="str"/>
      <x:c r="Y91" s="18" t="str">
        <x:v>Estimate = UK industry final energy 19.5 Mtoe × MIT global stage-energy share 0.0939 = 1.831 Mtoe. This is an explicit designer allocation, not an official UK stage statistic.</x:v>
      </x:c>
      <x:c r="Z91" s="18" t="str">
        <x:v>Used to ensure Energy visibly enters all major industrial transformation stages while preserving uncertainty.</x:v>
      </x:c>
      <x:c r="AA91" s="18" t="str">
        <x:v>low</x:v>
      </x:c>
      <x:c r="AB91" s="18" t="str">
        <x:v>2026-07-24</x:v>
      </x:c>
      <x:c r="AC91" s="18" t="str"/>
      <x:c r="AD91" s="18" t="str"/>
      <x:c r="AE91" s="20" t="n">
        <x:v>1.831</x:v>
      </x:c>
      <x:c r="AF91" s="18" t="str">
        <x:v>https://www.gov.uk/government/statistics/energy-consumption-in-the-uk-2025/energy-consumption-in-the-uk-ecuk-2025 | MIT test dataset energy links</x:v>
      </x:c>
      <x:c r="AG91" s="18" t="str">
        <x:v>Estimated energy input — Extraction</x:v>
      </x:c>
      <x:c r="AH91" s="18" t="str">
        <x:v>An estimate of industrial energy allocated to extraction using the global MIT stage-energy proportions.</x:v>
      </x:c>
      <x:c r="AI91" s="18" t="str">
        <x:v>Energy use contributes to emissions and upstream resource demand. This stage allocation is an explicit estimate and does not represent direct metering.</x:v>
      </x:c>
      <x:c r="AJ91" s="18" t="str">
        <x:v>Not applicable</x:v>
      </x:c>
      <x:c r="AK91" s="18" t="str">
        <x:v>1.831 Mtoe | Extraction energy estimate | UK, 2024</x:v>
      </x:c>
      <x:c r="AL91" s="18" t="str">
        <x:v>DESNZ ECUK 2025 + MIT global Sankey stage proportions (data: 2024)</x:v>
      </x:c>
    </x:row>
    <x:row r="92">
      <x:c r="A92" s="18" t="str">
        <x:v>UK-ENE-STAGE-002</x:v>
      </x:c>
      <x:c r="B92" s="18" t="str">
        <x:v>Energy</x:v>
      </x:c>
      <x:c r="C92" s="18" t="str">
        <x:v>Material Processing</x:v>
      </x:c>
      <x:c r="D92" s="18" t="str"/>
      <x:c r="E92" s="18" t="str"/>
      <x:c r="F92" s="18" t="str">
        <x:v>Estimated energy input — Material Processing</x:v>
      </x:c>
      <x:c r="G92" s="18" t="str">
        <x:v>Energy</x:v>
      </x:c>
      <x:c r="H92" s="20" t="str"/>
      <x:c r="I92" s="18" t="str">
        <x:v>Mtoe</x:v>
      </x:c>
      <x:c r="J92" s="18" t="str">
        <x:v>2024</x:v>
      </x:c>
      <x:c r="K92" s="18" t="str">
        <x:v>UK</x:v>
      </x:c>
      <x:c r="L92" s="18" t="str">
        <x:v>designer_estimate_mit_scaled</x:v>
      </x:c>
      <x:c r="M92" s="18" t="str">
        <x:v>true</x:v>
      </x:c>
      <x:c r="N92" s="18" t="str">
        <x:v>false</x:v>
      </x:c>
      <x:c r="O92" s="18" t="str">
        <x:v>primary</x:v>
      </x:c>
      <x:c r="P92" s="18" t="str">
        <x:v>energy_stage_estimates</x:v>
      </x:c>
      <x:c r="Q92" s="18" t="str"/>
      <x:c r="R92" s="18" t="str"/>
      <x:c r="S92" s="18" t="str">
        <x:v>uk_industry_energy_2024_estimate</x:v>
      </x:c>
      <x:c r="T92" s="18" t="str">
        <x:v>estimated_stage_input</x:v>
      </x:c>
      <x:c r="U92" s="18" t="str">
        <x:v>DESNZ_ECUK+MIT_GLOBAL</x:v>
      </x:c>
      <x:c r="V92" s="18" t="str">
        <x:v>DESNZ ECUK 2025 + MIT global Sankey stage proportions</x:v>
      </x:c>
      <x:c r="W92" s="18" t="str">
        <x:v>https://www.gov.uk/government/statistics/energy-consumption-in-the-uk-2025/energy-consumption-in-the-uk-ecuk-2025</x:v>
      </x:c>
      <x:c r="X92" s="18" t="str"/>
      <x:c r="Y92" s="18" t="str">
        <x:v>Estimate = UK industry final energy 19.5 Mtoe × MIT global stage-energy share 0.6385 = 12.451 Mtoe. This is an explicit designer allocation, not an official UK stage statistic.</x:v>
      </x:c>
      <x:c r="Z92" s="18" t="str">
        <x:v>Used to ensure Energy visibly enters all major industrial transformation stages while preserving uncertainty.</x:v>
      </x:c>
      <x:c r="AA92" s="18" t="str">
        <x:v>low</x:v>
      </x:c>
      <x:c r="AB92" s="18" t="str">
        <x:v>2026-07-24</x:v>
      </x:c>
      <x:c r="AC92" s="18" t="str"/>
      <x:c r="AD92" s="18" t="str"/>
      <x:c r="AE92" s="20" t="n">
        <x:v>12.451</x:v>
      </x:c>
      <x:c r="AF92" s="18" t="str">
        <x:v>https://www.gov.uk/government/statistics/energy-consumption-in-the-uk-2025/energy-consumption-in-the-uk-ecuk-2025 | MIT test dataset energy links</x:v>
      </x:c>
      <x:c r="AG92" s="18" t="str">
        <x:v>Estimated energy input — Material Processing</x:v>
      </x:c>
      <x:c r="AH92" s="18" t="str">
        <x:v>An estimate of industrial energy allocated to material processing using the global MIT stage-energy proportions.</x:v>
      </x:c>
      <x:c r="AI92" s="18" t="str">
        <x:v>Energy use contributes to emissions and upstream resource demand. This stage allocation is an explicit estimate and does not represent direct metering.</x:v>
      </x:c>
      <x:c r="AJ92" s="18" t="str">
        <x:v>Not applicable</x:v>
      </x:c>
      <x:c r="AK92" s="18" t="str">
        <x:v>12.451 Mtoe | Processing energy estimate | UK, 2024</x:v>
      </x:c>
      <x:c r="AL92" s="18" t="str">
        <x:v>DESNZ ECUK 2025 + MIT global Sankey stage proportions (data: 2024)</x:v>
      </x:c>
    </x:row>
    <x:row r="93">
      <x:c r="A93" s="18" t="str">
        <x:v>UK-ENE-STAGE-003</x:v>
      </x:c>
      <x:c r="B93" s="18" t="str">
        <x:v>Energy</x:v>
      </x:c>
      <x:c r="C93" s="18" t="str">
        <x:v>Fabrication / Manufacture</x:v>
      </x:c>
      <x:c r="D93" s="18" t="str"/>
      <x:c r="E93" s="18" t="str"/>
      <x:c r="F93" s="18" t="str">
        <x:v>Estimated energy input — Fabrication / Manufacture</x:v>
      </x:c>
      <x:c r="G93" s="18" t="str">
        <x:v>Energy</x:v>
      </x:c>
      <x:c r="H93" s="20" t="str"/>
      <x:c r="I93" s="18" t="str">
        <x:v>Mtoe</x:v>
      </x:c>
      <x:c r="J93" s="18" t="str">
        <x:v>2024</x:v>
      </x:c>
      <x:c r="K93" s="18" t="str">
        <x:v>UK</x:v>
      </x:c>
      <x:c r="L93" s="18" t="str">
        <x:v>designer_estimate_mit_scaled</x:v>
      </x:c>
      <x:c r="M93" s="18" t="str">
        <x:v>true</x:v>
      </x:c>
      <x:c r="N93" s="18" t="str">
        <x:v>false</x:v>
      </x:c>
      <x:c r="O93" s="18" t="str">
        <x:v>primary</x:v>
      </x:c>
      <x:c r="P93" s="18" t="str">
        <x:v>energy_stage_estimates</x:v>
      </x:c>
      <x:c r="Q93" s="18" t="str"/>
      <x:c r="R93" s="18" t="str"/>
      <x:c r="S93" s="18" t="str">
        <x:v>uk_industry_energy_2024_estimate</x:v>
      </x:c>
      <x:c r="T93" s="18" t="str">
        <x:v>estimated_stage_input</x:v>
      </x:c>
      <x:c r="U93" s="18" t="str">
        <x:v>DESNZ_ECUK+MIT_GLOBAL</x:v>
      </x:c>
      <x:c r="V93" s="18" t="str">
        <x:v>DESNZ ECUK 2025 + MIT global Sankey stage proportions</x:v>
      </x:c>
      <x:c r="W93" s="18" t="str">
        <x:v>https://www.gov.uk/government/statistics/energy-consumption-in-the-uk-2025/energy-consumption-in-the-uk-ecuk-2025</x:v>
      </x:c>
      <x:c r="X93" s="18" t="str"/>
      <x:c r="Y93" s="18" t="str">
        <x:v>Estimate = UK industry final energy 19.5 Mtoe × MIT global stage-energy share 0.2676 = 5.218 Mtoe. This is an explicit designer allocation, not an official UK stage statistic.</x:v>
      </x:c>
      <x:c r="Z93" s="18" t="str">
        <x:v>Used to ensure Energy visibly enters all major industrial transformation stages while preserving uncertainty.</x:v>
      </x:c>
      <x:c r="AA93" s="18" t="str">
        <x:v>low</x:v>
      </x:c>
      <x:c r="AB93" s="18" t="str">
        <x:v>2026-07-24</x:v>
      </x:c>
      <x:c r="AC93" s="18" t="str"/>
      <x:c r="AD93" s="18" t="str"/>
      <x:c r="AE93" s="20" t="n">
        <x:v>5.218</x:v>
      </x:c>
      <x:c r="AF93" s="18" t="str">
        <x:v>https://www.gov.uk/government/statistics/energy-consumption-in-the-uk-2025/energy-consumption-in-the-uk-ecuk-2025 | MIT test dataset energy links</x:v>
      </x:c>
      <x:c r="AG93" s="18" t="str">
        <x:v>Estimated energy input — Fabrication / Manufacture</x:v>
      </x:c>
      <x:c r="AH93" s="18" t="str">
        <x:v>An estimate of industrial energy allocated to fabrication and manufacture using the global MIT stage-energy proportions.</x:v>
      </x:c>
      <x:c r="AI93" s="18" t="str">
        <x:v>Energy use contributes to emissions and upstream resource demand. This stage allocation is an explicit estimate and does not represent direct metering.</x:v>
      </x:c>
      <x:c r="AJ93" s="18" t="str">
        <x:v>Not applicable</x:v>
      </x:c>
      <x:c r="AK93" s="18" t="str">
        <x:v>5.218 Mtoe | Fabrication energy estimate | UK, 2024</x:v>
      </x:c>
      <x:c r="AL93" s="18" t="str">
        <x:v>DESNZ ECUK 2025 + MIT global Sankey stage proportions (data: 2024)</x:v>
      </x:c>
    </x:row>
    <x:row r="94">
      <x:c r="A94" s="18" t="str">
        <x:v>UK-ENE-FUEL-001</x:v>
      </x:c>
      <x:c r="B94" s="18" t="str">
        <x:v>Energy</x:v>
      </x:c>
      <x:c r="C94" s="18" t="str">
        <x:v>Industrial Transformation — total</x:v>
      </x:c>
      <x:c r="D94" s="18" t="str"/>
      <x:c r="E94" s="18" t="str"/>
      <x:c r="F94" s="18" t="str">
        <x:v>Industry energy — Coal &amp; manufactured fuels</x:v>
      </x:c>
      <x:c r="G94" s="18" t="str">
        <x:v>Energy</x:v>
      </x:c>
      <x:c r="H94" s="20" t="n">
        <x:v>0.6</x:v>
      </x:c>
      <x:c r="I94" s="18" t="str">
        <x:v>Mtoe</x:v>
      </x:c>
      <x:c r="J94" s="18" t="str">
        <x:v>2024</x:v>
      </x:c>
      <x:c r="K94" s="18" t="str">
        <x:v>UK</x:v>
      </x:c>
      <x:c r="L94" s="18" t="str">
        <x:v>source_supported</x:v>
      </x:c>
      <x:c r="M94" s="18" t="str">
        <x:v>true</x:v>
      </x:c>
      <x:c r="N94" s="18" t="str">
        <x:v>false</x:v>
      </x:c>
      <x:c r="O94" s="18" t="str">
        <x:v>drilldown</x:v>
      </x:c>
      <x:c r="P94" s="18" t="str">
        <x:v>energy_fuel_mix</x:v>
      </x:c>
      <x:c r="Q94" s="18" t="str"/>
      <x:c r="R94" s="18" t="str"/>
      <x:c r="S94" s="18" t="str">
        <x:v>uk_industry_energy_2024</x:v>
      </x:c>
      <x:c r="T94" s="18" t="str">
        <x:v>constituent_drilldown</x:v>
      </x:c>
      <x:c r="U94" s="18" t="str">
        <x:v>DESNZ_UK_EIB_2025</x:v>
      </x:c>
      <x:c r="V94" s="18" t="str">
        <x:v>UK Energy in Brief 2025</x:v>
      </x:c>
      <x:c r="W94" s="18" t="str">
        <x:v>https://assets.publishing.service.gov.uk/media/688890c3a11f859994409132/UK_Energy_in_Brief_2025.pdf</x:v>
      </x:c>
      <x:c r="X94" s="18" t="str">
        <x:v>2024 industry final energy — Coal &amp; manufactured fuels: 0.6 Mtoe</x:v>
      </x:c>
      <x:c r="Y94" s="18" t="str">
        <x:v>Fuel-mix drilldown of 19.5 Mtoe industry total; do not add on top of total.</x:v>
      </x:c>
      <x:c r="Z94" s="18" t="str"/>
      <x:c r="AA94" s="18" t="str">
        <x:v>high</x:v>
      </x:c>
      <x:c r="AB94" s="18" t="str">
        <x:v>2026-07-24</x:v>
      </x:c>
      <x:c r="AC94" s="18" t="str"/>
      <x:c r="AD94" s="18" t="str"/>
      <x:c r="AE94" s="20" t="str"/>
      <x:c r="AF94" s="18" t="str"/>
      <x:c r="AG94" s="18" t="str">
        <x:v>Coal and manufactured fuels</x:v>
      </x:c>
      <x:c r="AH94" s="18" t="str">
        <x:v>The reported coal and manufactured-fuel share of UK industrial final energy consumption.</x:v>
      </x:c>
      <x:c r="AI94" s="18" t="str">
        <x:v>The ecological impact depends on the fuel: fossil fuels create direct greenhouse-gas and air-pollution burdens, while electricity and bioenergy depend on their generation and sourcing.</x:v>
      </x:c>
      <x:c r="AJ94" s="18" t="str">
        <x:v>Not applicable</x:v>
      </x:c>
      <x:c r="AK94" s="18" t="str">
        <x:v>0.6 Mtoe coal and manufactured fuels | UK industry, 2024</x:v>
      </x:c>
      <x:c r="AL94" s="18" t="str">
        <x:v>UK Energy in Brief 2025 (data: 2024)</x:v>
      </x:c>
    </x:row>
    <x:row r="95">
      <x:c r="A95" s="18" t="str">
        <x:v>UK-ENE-FUEL-002</x:v>
      </x:c>
      <x:c r="B95" s="18" t="str">
        <x:v>Energy</x:v>
      </x:c>
      <x:c r="C95" s="18" t="str">
        <x:v>Industrial Transformation — total</x:v>
      </x:c>
      <x:c r="D95" s="18" t="str"/>
      <x:c r="E95" s="18" t="str"/>
      <x:c r="F95" s="18" t="str">
        <x:v>Industry energy — Oil</x:v>
      </x:c>
      <x:c r="G95" s="18" t="str">
        <x:v>Energy</x:v>
      </x:c>
      <x:c r="H95" s="20" t="n">
        <x:v>2.1</x:v>
      </x:c>
      <x:c r="I95" s="18" t="str">
        <x:v>Mtoe</x:v>
      </x:c>
      <x:c r="J95" s="18" t="str">
        <x:v>2024</x:v>
      </x:c>
      <x:c r="K95" s="18" t="str">
        <x:v>UK</x:v>
      </x:c>
      <x:c r="L95" s="18" t="str">
        <x:v>source_supported</x:v>
      </x:c>
      <x:c r="M95" s="18" t="str">
        <x:v>true</x:v>
      </x:c>
      <x:c r="N95" s="18" t="str">
        <x:v>false</x:v>
      </x:c>
      <x:c r="O95" s="18" t="str">
        <x:v>drilldown</x:v>
      </x:c>
      <x:c r="P95" s="18" t="str">
        <x:v>energy_fuel_mix</x:v>
      </x:c>
      <x:c r="Q95" s="18" t="str"/>
      <x:c r="R95" s="18" t="str"/>
      <x:c r="S95" s="18" t="str">
        <x:v>uk_industry_energy_2024</x:v>
      </x:c>
      <x:c r="T95" s="18" t="str">
        <x:v>constituent_drilldown</x:v>
      </x:c>
      <x:c r="U95" s="18" t="str">
        <x:v>DESNZ_UK_EIB_2025</x:v>
      </x:c>
      <x:c r="V95" s="18" t="str">
        <x:v>UK Energy in Brief 2025</x:v>
      </x:c>
      <x:c r="W95" s="18" t="str">
        <x:v>https://assets.publishing.service.gov.uk/media/688890c3a11f859994409132/UK_Energy_in_Brief_2025.pdf</x:v>
      </x:c>
      <x:c r="X95" s="18" t="str">
        <x:v>2024 industry final energy — Oil: 2.1 Mtoe</x:v>
      </x:c>
      <x:c r="Y95" s="18" t="str">
        <x:v>Fuel-mix drilldown of 19.5 Mtoe industry total; do not add on top of total.</x:v>
      </x:c>
      <x:c r="Z95" s="18" t="str"/>
      <x:c r="AA95" s="18" t="str">
        <x:v>high</x:v>
      </x:c>
      <x:c r="AB95" s="18" t="str">
        <x:v>2026-07-24</x:v>
      </x:c>
      <x:c r="AC95" s="18" t="str"/>
      <x:c r="AD95" s="18" t="str"/>
      <x:c r="AE95" s="20" t="str"/>
      <x:c r="AF95" s="18" t="str"/>
      <x:c r="AG95" s="18" t="str">
        <x:v>Oil</x:v>
      </x:c>
      <x:c r="AH95" s="18" t="str">
        <x:v>The reported oil share of UK industrial final energy consumption.</x:v>
      </x:c>
      <x:c r="AI95" s="18" t="str">
        <x:v>The ecological impact depends on the fuel: fossil fuels create direct greenhouse-gas and air-pollution burdens, while electricity and bioenergy depend on their generation and sourcing.</x:v>
      </x:c>
      <x:c r="AJ95" s="18" t="str">
        <x:v>Not applicable</x:v>
      </x:c>
      <x:c r="AK95" s="18" t="str">
        <x:v>2.1 Mtoe oil | UK industry, 2024</x:v>
      </x:c>
      <x:c r="AL95" s="18" t="str">
        <x:v>UK Energy in Brief 2025 (data: 2024)</x:v>
      </x:c>
    </x:row>
    <x:row r="96">
      <x:c r="A96" s="18" t="str">
        <x:v>UK-ENE-FUEL-003</x:v>
      </x:c>
      <x:c r="B96" s="18" t="str">
        <x:v>Energy</x:v>
      </x:c>
      <x:c r="C96" s="18" t="str">
        <x:v>Industrial Transformation — total</x:v>
      </x:c>
      <x:c r="D96" s="18" t="str"/>
      <x:c r="E96" s="18" t="str"/>
      <x:c r="F96" s="18" t="str">
        <x:v>Industry energy — Gas</x:v>
      </x:c>
      <x:c r="G96" s="18" t="str">
        <x:v>Energy</x:v>
      </x:c>
      <x:c r="H96" s="20" t="n">
        <x:v>7.3</x:v>
      </x:c>
      <x:c r="I96" s="18" t="str">
        <x:v>Mtoe</x:v>
      </x:c>
      <x:c r="J96" s="18" t="str">
        <x:v>2024</x:v>
      </x:c>
      <x:c r="K96" s="18" t="str">
        <x:v>UK</x:v>
      </x:c>
      <x:c r="L96" s="18" t="str">
        <x:v>source_supported</x:v>
      </x:c>
      <x:c r="M96" s="18" t="str">
        <x:v>true</x:v>
      </x:c>
      <x:c r="N96" s="18" t="str">
        <x:v>false</x:v>
      </x:c>
      <x:c r="O96" s="18" t="str">
        <x:v>drilldown</x:v>
      </x:c>
      <x:c r="P96" s="18" t="str">
        <x:v>energy_fuel_mix</x:v>
      </x:c>
      <x:c r="Q96" s="18" t="str"/>
      <x:c r="R96" s="18" t="str"/>
      <x:c r="S96" s="18" t="str">
        <x:v>uk_industry_energy_2024</x:v>
      </x:c>
      <x:c r="T96" s="18" t="str">
        <x:v>constituent_drilldown</x:v>
      </x:c>
      <x:c r="U96" s="18" t="str">
        <x:v>DESNZ_UK_EIB_2025</x:v>
      </x:c>
      <x:c r="V96" s="18" t="str">
        <x:v>UK Energy in Brief 2025</x:v>
      </x:c>
      <x:c r="W96" s="18" t="str">
        <x:v>https://assets.publishing.service.gov.uk/media/688890c3a11f859994409132/UK_Energy_in_Brief_2025.pdf</x:v>
      </x:c>
      <x:c r="X96" s="18" t="str">
        <x:v>2024 industry final energy — Gas: 7.3 Mtoe</x:v>
      </x:c>
      <x:c r="Y96" s="18" t="str">
        <x:v>Fuel-mix drilldown of 19.5 Mtoe industry total; do not add on top of total.</x:v>
      </x:c>
      <x:c r="Z96" s="18" t="str"/>
      <x:c r="AA96" s="18" t="str">
        <x:v>high</x:v>
      </x:c>
      <x:c r="AB96" s="18" t="str">
        <x:v>2026-07-24</x:v>
      </x:c>
      <x:c r="AC96" s="18" t="str"/>
      <x:c r="AD96" s="18" t="str"/>
      <x:c r="AE96" s="20" t="str"/>
      <x:c r="AF96" s="18" t="str"/>
      <x:c r="AG96" s="18" t="str">
        <x:v>Gas</x:v>
      </x:c>
      <x:c r="AH96" s="18" t="str">
        <x:v>The reported gas share of UK industrial final energy consumption.</x:v>
      </x:c>
      <x:c r="AI96" s="18" t="str">
        <x:v>The ecological impact depends on the fuel: fossil fuels create direct greenhouse-gas and air-pollution burdens, while electricity and bioenergy depend on their generation and sourcing.</x:v>
      </x:c>
      <x:c r="AJ96" s="18" t="str">
        <x:v>Not applicable</x:v>
      </x:c>
      <x:c r="AK96" s="18" t="str">
        <x:v>7.3 Mtoe gas | UK industry, 2024</x:v>
      </x:c>
      <x:c r="AL96" s="18" t="str">
        <x:v>UK Energy in Brief 2025 (data: 2024)</x:v>
      </x:c>
    </x:row>
    <x:row r="97">
      <x:c r="A97" s="18" t="str">
        <x:v>UK-ENE-FUEL-004</x:v>
      </x:c>
      <x:c r="B97" s="18" t="str">
        <x:v>Energy</x:v>
      </x:c>
      <x:c r="C97" s="18" t="str">
        <x:v>Industrial Transformation — total</x:v>
      </x:c>
      <x:c r="D97" s="18" t="str"/>
      <x:c r="E97" s="18" t="str"/>
      <x:c r="F97" s="18" t="str">
        <x:v>Industry energy — Electricity</x:v>
      </x:c>
      <x:c r="G97" s="18" t="str">
        <x:v>Energy</x:v>
      </x:c>
      <x:c r="H97" s="20" t="n">
        <x:v>7.1</x:v>
      </x:c>
      <x:c r="I97" s="18" t="str">
        <x:v>Mtoe</x:v>
      </x:c>
      <x:c r="J97" s="18" t="str">
        <x:v>2024</x:v>
      </x:c>
      <x:c r="K97" s="18" t="str">
        <x:v>UK</x:v>
      </x:c>
      <x:c r="L97" s="18" t="str">
        <x:v>source_supported</x:v>
      </x:c>
      <x:c r="M97" s="18" t="str">
        <x:v>true</x:v>
      </x:c>
      <x:c r="N97" s="18" t="str">
        <x:v>false</x:v>
      </x:c>
      <x:c r="O97" s="18" t="str">
        <x:v>drilldown</x:v>
      </x:c>
      <x:c r="P97" s="18" t="str">
        <x:v>energy_fuel_mix</x:v>
      </x:c>
      <x:c r="Q97" s="18" t="str"/>
      <x:c r="R97" s="18" t="str"/>
      <x:c r="S97" s="18" t="str">
        <x:v>uk_industry_energy_2024</x:v>
      </x:c>
      <x:c r="T97" s="18" t="str">
        <x:v>constituent_drilldown</x:v>
      </x:c>
      <x:c r="U97" s="18" t="str">
        <x:v>DESNZ_UK_EIB_2025</x:v>
      </x:c>
      <x:c r="V97" s="18" t="str">
        <x:v>UK Energy in Brief 2025</x:v>
      </x:c>
      <x:c r="W97" s="18" t="str">
        <x:v>https://assets.publishing.service.gov.uk/media/688890c3a11f859994409132/UK_Energy_in_Brief_2025.pdf</x:v>
      </x:c>
      <x:c r="X97" s="18" t="str">
        <x:v>2024 industry final energy — Electricity: 7.1 Mtoe</x:v>
      </x:c>
      <x:c r="Y97" s="18" t="str">
        <x:v>Fuel-mix drilldown of 19.5 Mtoe industry total; do not add on top of total.</x:v>
      </x:c>
      <x:c r="Z97" s="18" t="str"/>
      <x:c r="AA97" s="18" t="str">
        <x:v>high</x:v>
      </x:c>
      <x:c r="AB97" s="18" t="str">
        <x:v>2026-07-24</x:v>
      </x:c>
      <x:c r="AC97" s="18" t="str"/>
      <x:c r="AD97" s="18" t="str"/>
      <x:c r="AE97" s="20" t="str"/>
      <x:c r="AF97" s="18" t="str"/>
      <x:c r="AG97" s="18" t="str">
        <x:v>Electricity</x:v>
      </x:c>
      <x:c r="AH97" s="18" t="str">
        <x:v>The reported electricity share of UK industrial final energy consumption.</x:v>
      </x:c>
      <x:c r="AI97" s="18" t="str">
        <x:v>The ecological impact depends on the fuel: fossil fuels create direct greenhouse-gas and air-pollution burdens, while electricity and bioenergy depend on their generation and sourcing.</x:v>
      </x:c>
      <x:c r="AJ97" s="18" t="str">
        <x:v>Not applicable</x:v>
      </x:c>
      <x:c r="AK97" s="18" t="str">
        <x:v>7.1 Mtoe electricity | UK industry, 2024</x:v>
      </x:c>
      <x:c r="AL97" s="18" t="str">
        <x:v>UK Energy in Brief 2025 (data: 2024)</x:v>
      </x:c>
    </x:row>
    <x:row r="98">
      <x:c r="A98" s="18" t="str">
        <x:v>UK-ENE-FUEL-005</x:v>
      </x:c>
      <x:c r="B98" s="18" t="str">
        <x:v>Energy</x:v>
      </x:c>
      <x:c r="C98" s="18" t="str">
        <x:v>Industrial Transformation — total</x:v>
      </x:c>
      <x:c r="D98" s="18" t="str"/>
      <x:c r="E98" s="18" t="str"/>
      <x:c r="F98" s="18" t="str">
        <x:v>Industry energy — Bioenergy &amp; heat</x:v>
      </x:c>
      <x:c r="G98" s="18" t="str">
        <x:v>Energy</x:v>
      </x:c>
      <x:c r="H98" s="20" t="n">
        <x:v>2.4</x:v>
      </x:c>
      <x:c r="I98" s="18" t="str">
        <x:v>Mtoe</x:v>
      </x:c>
      <x:c r="J98" s="18" t="str">
        <x:v>2024</x:v>
      </x:c>
      <x:c r="K98" s="18" t="str">
        <x:v>UK</x:v>
      </x:c>
      <x:c r="L98" s="18" t="str">
        <x:v>source_supported</x:v>
      </x:c>
      <x:c r="M98" s="18" t="str">
        <x:v>true</x:v>
      </x:c>
      <x:c r="N98" s="18" t="str">
        <x:v>false</x:v>
      </x:c>
      <x:c r="O98" s="18" t="str">
        <x:v>drilldown</x:v>
      </x:c>
      <x:c r="P98" s="18" t="str">
        <x:v>energy_fuel_mix</x:v>
      </x:c>
      <x:c r="Q98" s="18" t="str"/>
      <x:c r="R98" s="18" t="str"/>
      <x:c r="S98" s="18" t="str">
        <x:v>uk_industry_energy_2024</x:v>
      </x:c>
      <x:c r="T98" s="18" t="str">
        <x:v>constituent_drilldown</x:v>
      </x:c>
      <x:c r="U98" s="18" t="str">
        <x:v>DESNZ_UK_EIB_2025</x:v>
      </x:c>
      <x:c r="V98" s="18" t="str">
        <x:v>UK Energy in Brief 2025</x:v>
      </x:c>
      <x:c r="W98" s="18" t="str">
        <x:v>https://assets.publishing.service.gov.uk/media/688890c3a11f859994409132/UK_Energy_in_Brief_2025.pdf</x:v>
      </x:c>
      <x:c r="X98" s="18" t="str">
        <x:v>2024 industry final energy — Bioenergy &amp; heat: 2.4 Mtoe</x:v>
      </x:c>
      <x:c r="Y98" s="18" t="str">
        <x:v>Fuel-mix drilldown of 19.5 Mtoe industry total; do not add on top of total.</x:v>
      </x:c>
      <x:c r="Z98" s="18" t="str"/>
      <x:c r="AA98" s="18" t="str">
        <x:v>high</x:v>
      </x:c>
      <x:c r="AB98" s="18" t="str">
        <x:v>2026-07-24</x:v>
      </x:c>
      <x:c r="AC98" s="18" t="str"/>
      <x:c r="AD98" s="18" t="str"/>
      <x:c r="AE98" s="20" t="str"/>
      <x:c r="AF98" s="18" t="str"/>
      <x:c r="AG98" s="18" t="str">
        <x:v>Bioenergy and heat</x:v>
      </x:c>
      <x:c r="AH98" s="18" t="str">
        <x:v>The reported bioenergy and heat share of UK industrial final energy consumption.</x:v>
      </x:c>
      <x:c r="AI98" s="18" t="str">
        <x:v>The ecological impact depends on the fuel: fossil fuels create direct greenhouse-gas and air-pollution burdens, while electricity and bioenergy depend on their generation and sourcing.</x:v>
      </x:c>
      <x:c r="AJ98" s="18" t="str">
        <x:v>Not applicable</x:v>
      </x:c>
      <x:c r="AK98" s="18" t="str">
        <x:v>2.4 Mtoe bioenergy and heat | UK industry, 2024</x:v>
      </x:c>
      <x:c r="AL98" s="18" t="str">
        <x:v>UK Energy in Brief 2025 (data: 2024)</x:v>
      </x:c>
    </x:row>
    <x:row r="99">
      <x:c r="A99" s="18" t="str">
        <x:v>UK-ENE-UNRES-001</x:v>
      </x:c>
      <x:c r="B99" s="18" t="str">
        <x:v>Energy</x:v>
      </x:c>
      <x:c r="C99" s="18" t="str">
        <x:v>Use / Consumption</x:v>
      </x:c>
      <x:c r="D99" s="18" t="str"/>
      <x:c r="E99" s="18" t="str"/>
      <x:c r="F99" s="18" t="str">
        <x:v>Energy input — Use / Consumption</x:v>
      </x:c>
      <x:c r="G99" s="18" t="str">
        <x:v>Energy</x:v>
      </x:c>
      <x:c r="H99" s="20" t="str"/>
      <x:c r="I99" s="18" t="str"/>
      <x:c r="J99" s="18" t="str"/>
      <x:c r="K99" s="18" t="str"/>
      <x:c r="L99" s="18" t="str">
        <x:v>unresolved_product_dependent</x:v>
      </x:c>
      <x:c r="M99" s="18" t="str">
        <x:v>false</x:v>
      </x:c>
      <x:c r="N99" s="18" t="str">
        <x:v>false</x:v>
      </x:c>
      <x:c r="O99" s="18" t="str">
        <x:v>structural</x:v>
      </x:c>
      <x:c r="P99" s="18" t="str">
        <x:v>energy_unresolved</x:v>
      </x:c>
      <x:c r="Q99" s="18" t="str"/>
      <x:c r="R99" s="18" t="str"/>
      <x:c r="S99" s="18" t="str"/>
      <x:c r="T99" s="18" t="str">
        <x:v>structural_optional</x:v>
      </x:c>
      <x:c r="U99" s="18" t="str"/>
      <x:c r="V99" s="18" t="str"/>
      <x:c r="W99" s="18" t="str"/>
      <x:c r="X99" s="18" t="str"/>
      <x:c r="Y99" s="18" t="str">
        <x:v>Energy demand is product/process dependent. Do not assign generic industry/domestic energy totals to this stage without a product-specific boundary.</x:v>
      </x:c>
      <x:c r="Z99" s="18" t="str"/>
      <x:c r="AA99" s="18" t="str">
        <x:v>conceptual</x:v>
      </x:c>
      <x:c r="AB99" s="18" t="str">
        <x:v>2026-07-24</x:v>
      </x:c>
      <x:c r="AC99" s="18" t="str"/>
      <x:c r="AD99" s="18" t="str"/>
      <x:c r="AE99" s="20" t="str"/>
      <x:c r="AF99" s="18" t="str"/>
      <x:c r="AG99" s="18" t="str">
        <x:v>Energy input — Use / Consumption</x:v>
      </x:c>
      <x:c r="AH99" s="18" t="str">
        <x:v>A known but unquantified relationship representing energy used while products are operated, maintained or consumed.</x:v>
      </x:c>
      <x:c r="AI99" s="18" t="str">
        <x:v>The relationship acknowledges energy demand, but no defensible quantity is assigned. Ecological impact therefore remains unresolved in this overview.</x:v>
      </x:c>
      <x:c r="AJ99" s="18" t="str">
        <x:v>Not applicable</x:v>
      </x:c>
      <x:c r="AK99" s="18" t="str">
        <x:v>Use-stage energy | Quantity unresolved | Product dependent</x:v>
      </x:c>
      <x:c r="AL99" s="18" t="str">
        <x:v>Source not supplied</x:v>
      </x:c>
    </x:row>
    <x:row r="100">
      <x:c r="A100" s="18" t="str">
        <x:v>UK-ENE-UNRES-002</x:v>
      </x:c>
      <x:c r="B100" s="18" t="str">
        <x:v>Energy</x:v>
      </x:c>
      <x:c r="C100" s="18" t="str">
        <x:v>End of Use</x:v>
      </x:c>
      <x:c r="D100" s="18" t="str"/>
      <x:c r="E100" s="18" t="str"/>
      <x:c r="F100" s="18" t="str">
        <x:v>Energy input — End of Use</x:v>
      </x:c>
      <x:c r="G100" s="18" t="str">
        <x:v>Energy</x:v>
      </x:c>
      <x:c r="H100" s="20" t="str"/>
      <x:c r="I100" s="18" t="str"/>
      <x:c r="J100" s="18" t="str"/>
      <x:c r="K100" s="18" t="str"/>
      <x:c r="L100" s="18" t="str">
        <x:v>unresolved_product_dependent</x:v>
      </x:c>
      <x:c r="M100" s="18" t="str">
        <x:v>false</x:v>
      </x:c>
      <x:c r="N100" s="18" t="str">
        <x:v>false</x:v>
      </x:c>
      <x:c r="O100" s="18" t="str">
        <x:v>structural</x:v>
      </x:c>
      <x:c r="P100" s="18" t="str">
        <x:v>energy_unresolved</x:v>
      </x:c>
      <x:c r="Q100" s="18" t="str"/>
      <x:c r="R100" s="18" t="str"/>
      <x:c r="S100" s="18" t="str"/>
      <x:c r="T100" s="18" t="str">
        <x:v>structural_optional</x:v>
      </x:c>
      <x:c r="U100" s="18" t="str"/>
      <x:c r="V100" s="18" t="str"/>
      <x:c r="W100" s="18" t="str"/>
      <x:c r="X100" s="18" t="str"/>
      <x:c r="Y100" s="18" t="str">
        <x:v>Energy demand is product/process dependent. Do not assign generic industry/domestic energy totals to this stage without a product-specific boundary.</x:v>
      </x:c>
      <x:c r="Z100" s="18" t="str"/>
      <x:c r="AA100" s="18" t="str">
        <x:v>conceptual</x:v>
      </x:c>
      <x:c r="AB100" s="18" t="str">
        <x:v>2026-07-24</x:v>
      </x:c>
      <x:c r="AC100" s="18" t="str"/>
      <x:c r="AD100" s="18" t="str"/>
      <x:c r="AE100" s="20" t="str"/>
      <x:c r="AF100" s="18" t="str"/>
      <x:c r="AG100" s="18" t="str">
        <x:v>Energy input — End of Use</x:v>
      </x:c>
      <x:c r="AH100" s="18" t="str">
        <x:v>A known but unquantified relationship representing energy used in collection, sorting, reuse, recycling and disposal.</x:v>
      </x:c>
      <x:c r="AI100" s="18" t="str">
        <x:v>The relationship acknowledges energy demand, but no defensible quantity is assigned. Ecological impact therefore remains unresolved in this overview.</x:v>
      </x:c>
      <x:c r="AJ100" s="18" t="str">
        <x:v>Not applicable</x:v>
      </x:c>
      <x:c r="AK100" s="18" t="str">
        <x:v>End-of-use energy | Quantity unresolved | Not to scale</x:v>
      </x:c>
      <x:c r="AL100" s="18" t="str">
        <x:v>Source not supplied</x:v>
      </x:c>
    </x:row>
    <x:row r="101">
      <x:c r="A101" s="18" t="str">
        <x:v>UK-GHG-000</x:v>
      </x:c>
      <x:c r="B101" s="18" t="str">
        <x:v>Manufacturing — total</x:v>
      </x:c>
      <x:c r="C101" s="18" t="str">
        <x:v>Atmospheric Emissions</x:v>
      </x:c>
      <x:c r="D101" s="18" t="str"/>
      <x:c r="E101" s="18" t="str"/>
      <x:c r="F101" s="18" t="str">
        <x:v>Manufacturing GHG emissions</x:v>
      </x:c>
      <x:c r="G101" s="18" t="str">
        <x:v>Emissions</x:v>
      </x:c>
      <x:c r="H101" s="20" t="n">
        <x:v>65</x:v>
      </x:c>
      <x:c r="I101" s="18" t="str">
        <x:v>MtCO2e</x:v>
      </x:c>
      <x:c r="J101" s="18" t="str">
        <x:v>2024 provisional</x:v>
      </x:c>
      <x:c r="K101" s="18" t="str">
        <x:v>UK residence basis</x:v>
      </x:c>
      <x:c r="L101" s="18" t="str">
        <x:v>source_supported_provisional</x:v>
      </x:c>
      <x:c r="M101" s="18" t="str">
        <x:v>false</x:v>
      </x:c>
      <x:c r="N101" s="18" t="str">
        <x:v>false</x:v>
      </x:c>
      <x:c r="O101" s="18" t="str">
        <x:v>evidence_only</x:v>
      </x:c>
      <x:c r="P101" s="18" t="str">
        <x:v>emissions_overview</x:v>
      </x:c>
      <x:c r="Q101" s="18" t="str"/>
      <x:c r="R101" s="18" t="str"/>
      <x:c r="S101" s="18" t="str">
        <x:v>uk_manufacturing_ghg_2024</x:v>
      </x:c>
      <x:c r="T101" s="18" t="str">
        <x:v>anchor_total</x:v>
      </x:c>
      <x:c r="U101" s="18" t="str">
        <x:v>ONS_GHG_2024</x:v>
      </x:c>
      <x:c r="V101" s="18" t="str">
        <x:v>ONS Greenhouse gas emissions, UK: provisional estimates, 2024</x:v>
      </x:c>
      <x:c r="W101" s="18" t="str">
        <x:v>https://www.ons.gov.uk/economy/environmentalaccounts/bulletins/greenhousegasintensityprovisionalestimatesuk/2024</x:v>
      </x:c>
      <x:c r="X101" s="18" t="str">
        <x:v>Manufacturing emissions fell from 70 MtCO2e in 2023 to 65 MtCO2e in 2024</x:v>
      </x:c>
      <x:c r="Y101" s="18" t="str"/>
      <x:c r="Z101" s="18" t="str"/>
      <x:c r="AA101" s="18" t="str">
        <x:v>high</x:v>
      </x:c>
      <x:c r="AB101" s="18" t="str">
        <x:v>2026-07-24</x:v>
      </x:c>
      <x:c r="AC101" s="18" t="str"/>
      <x:c r="AD101" s="18" t="str"/>
      <x:c r="AE101" s="20" t="str"/>
      <x:c r="AF101" s="18" t="str"/>
      <x:c r="AG101" s="18" t="str">
        <x:v>Manufacturing greenhouse-gas emissions</x:v>
      </x:c>
      <x:c r="AH101" s="18" t="str">
        <x:v>The provisional total greenhouse-gas emissions attributed to UK manufacturing on a residence basis.</x:v>
      </x:c>
      <x:c r="AI101" s="18" t="str">
        <x:v>Greenhouse-gas emissions contribute to climate change; this overview total does not describe local pollution, habitat effects or embodied impacts outside the UK boundary.</x:v>
      </x:c>
      <x:c r="AJ101" s="18" t="str">
        <x:v>Not applicable</x:v>
      </x:c>
      <x:c r="AK101" s="18" t="str">
        <x:v>65 MtCO₂e manufacturing emissions | UK, 2024 provisional</x:v>
      </x:c>
      <x:c r="AL101" s="18" t="str">
        <x:v>ONS Greenhouse gas emissions, UK: provisional estimates, 2024 (data: 2024 provisional)</x:v>
      </x:c>
    </x:row>
    <x:row r="102">
      <x:c r="A102" s="18" t="str">
        <x:v>UK-GHG-001</x:v>
      </x:c>
      <x:c r="B102" s="18" t="str">
        <x:v>Material Processing</x:v>
      </x:c>
      <x:c r="C102" s="18" t="str">
        <x:v>Atmospheric Emissions</x:v>
      </x:c>
      <x:c r="D102" s="18" t="str"/>
      <x:c r="E102" s="18" t="str"/>
      <x:c r="F102" s="18" t="str">
        <x:v>Estimated processing-stage GHG</x:v>
      </x:c>
      <x:c r="G102" s="18" t="str">
        <x:v>Emissions</x:v>
      </x:c>
      <x:c r="H102" s="20" t="str"/>
      <x:c r="I102" s="18" t="str">
        <x:v>MtCO2e</x:v>
      </x:c>
      <x:c r="J102" s="18" t="str">
        <x:v>2024</x:v>
      </x:c>
      <x:c r="K102" s="18" t="str">
        <x:v>UK</x:v>
      </x:c>
      <x:c r="L102" s="18" t="str">
        <x:v>designer_estimate_energy_share</x:v>
      </x:c>
      <x:c r="M102" s="18" t="str">
        <x:v>true</x:v>
      </x:c>
      <x:c r="N102" s="18" t="str">
        <x:v>false</x:v>
      </x:c>
      <x:c r="O102" s="18" t="str">
        <x:v>primary</x:v>
      </x:c>
      <x:c r="P102" s="18" t="str">
        <x:v>emissions_stage_estimates</x:v>
      </x:c>
      <x:c r="Q102" s="18" t="str"/>
      <x:c r="R102" s="18" t="str"/>
      <x:c r="S102" s="18" t="str">
        <x:v>uk_manufacturing_ghg_2024_estimate</x:v>
      </x:c>
      <x:c r="T102" s="18" t="str">
        <x:v>estimated_stage_output</x:v>
      </x:c>
      <x:c r="U102" s="18" t="str">
        <x:v>ONS_GHG+MIT_GLOBAL</x:v>
      </x:c>
      <x:c r="V102" s="18" t="str">
        <x:v>ONS manufacturing GHG total + MIT global stage-energy proportions</x:v>
      </x:c>
      <x:c r="W102" s="18" t="str">
        <x:v>https://www.ons.gov.uk/economy/environmentalaccounts/bulletins/greenhousegasintensityprovisionalestimatesuk/2024</x:v>
      </x:c>
      <x:c r="X102" s="18" t="str"/>
      <x:c r="Y102" s="18" t="str">
        <x:v>Estimate allocates the 65 MtCO2e manufacturing total between Material Processing and Fabrication using MIT energy-use proportions for those two stages. Processing share 0.7047 → 45.803 MtCO2e. This is a design estimate and process emissions do not necessarily scale with energy use.</x:v>
      </x:c>
      <x:c r="Z102" s="18" t="str"/>
      <x:c r="AA102" s="18" t="str">
        <x:v>low</x:v>
      </x:c>
      <x:c r="AB102" s="18" t="str">
        <x:v>2026-07-24</x:v>
      </x:c>
      <x:c r="AC102" s="18" t="str"/>
      <x:c r="AD102" s="18" t="str"/>
      <x:c r="AE102" s="20" t="n">
        <x:v>45.803</x:v>
      </x:c>
      <x:c r="AF102" s="18" t="str">
        <x:v>https://www.ons.gov.uk/economy/environmentalaccounts/bulletins/greenhousegasintensityprovisionalestimatesuk/2024 | MIT test dataset energy-stage relationships</x:v>
      </x:c>
      <x:c r="AG102" s="18" t="str">
        <x:v>Estimated processing-stage greenhouse-gas emissions</x:v>
      </x:c>
      <x:c r="AH102" s="18" t="str">
        <x:v>An estimated allocation of UK manufacturing greenhouse-gas emissions to material processing, based on stage-energy proportions.</x:v>
      </x:c>
      <x:c r="AI102" s="18" t="str">
        <x:v>These emissions contribute to climate change, but the stage split is estimated from energy proportions and should not be read as an official inventory allocation.</x:v>
      </x:c>
      <x:c r="AJ102" s="18" t="str">
        <x:v>Not applicable</x:v>
      </x:c>
      <x:c r="AK102" s="18" t="str">
        <x:v>45.803 MtCO₂e | Processing-stage estimate | UK, 2024</x:v>
      </x:c>
      <x:c r="AL102" s="18" t="str">
        <x:v>ONS manufacturing GHG total + MIT global stage-energy proportions (data: 2024)</x:v>
      </x:c>
    </x:row>
    <x:row r="103">
      <x:c r="A103" s="18" t="str">
        <x:v>UK-GHG-002</x:v>
      </x:c>
      <x:c r="B103" s="18" t="str">
        <x:v>Fabrication / Manufacture</x:v>
      </x:c>
      <x:c r="C103" s="18" t="str">
        <x:v>Atmospheric Emissions</x:v>
      </x:c>
      <x:c r="D103" s="18" t="str"/>
      <x:c r="E103" s="18" t="str"/>
      <x:c r="F103" s="18" t="str">
        <x:v>Estimated fabrication-stage GHG</x:v>
      </x:c>
      <x:c r="G103" s="18" t="str">
        <x:v>Emissions</x:v>
      </x:c>
      <x:c r="H103" s="20" t="str"/>
      <x:c r="I103" s="18" t="str">
        <x:v>MtCO2e</x:v>
      </x:c>
      <x:c r="J103" s="18" t="str">
        <x:v>2024</x:v>
      </x:c>
      <x:c r="K103" s="18" t="str">
        <x:v>UK</x:v>
      </x:c>
      <x:c r="L103" s="18" t="str">
        <x:v>designer_estimate_energy_share</x:v>
      </x:c>
      <x:c r="M103" s="18" t="str">
        <x:v>true</x:v>
      </x:c>
      <x:c r="N103" s="18" t="str">
        <x:v>false</x:v>
      </x:c>
      <x:c r="O103" s="18" t="str">
        <x:v>primary</x:v>
      </x:c>
      <x:c r="P103" s="18" t="str">
        <x:v>emissions_stage_estimates</x:v>
      </x:c>
      <x:c r="Q103" s="18" t="str"/>
      <x:c r="R103" s="18" t="str"/>
      <x:c r="S103" s="18" t="str">
        <x:v>uk_manufacturing_ghg_2024_estimate</x:v>
      </x:c>
      <x:c r="T103" s="18" t="str">
        <x:v>estimated_stage_output</x:v>
      </x:c>
      <x:c r="U103" s="18" t="str">
        <x:v>ONS_GHG+MIT_GLOBAL</x:v>
      </x:c>
      <x:c r="V103" s="18" t="str">
        <x:v>ONS manufacturing GHG total + MIT global stage-energy proportions</x:v>
      </x:c>
      <x:c r="W103" s="18" t="str">
        <x:v>https://www.ons.gov.uk/economy/environmentalaccounts/bulletins/greenhousegasintensityprovisionalestimatesuk/2024</x:v>
      </x:c>
      <x:c r="X103" s="18" t="str"/>
      <x:c r="Y103" s="18" t="str">
        <x:v>Complementary estimate = 65 − 45.803 = 19.197 MtCO2e. Not an official UK stage statistic.</x:v>
      </x:c>
      <x:c r="Z103" s="18" t="str"/>
      <x:c r="AA103" s="18" t="str">
        <x:v>low</x:v>
      </x:c>
      <x:c r="AB103" s="18" t="str">
        <x:v>2026-07-24</x:v>
      </x:c>
      <x:c r="AC103" s="18" t="str"/>
      <x:c r="AD103" s="18" t="str"/>
      <x:c r="AE103" s="20" t="n">
        <x:v>19.197</x:v>
      </x:c>
      <x:c r="AF103" s="18" t="str">
        <x:v>https://www.ons.gov.uk/economy/environmentalaccounts/bulletins/greenhousegasintensityprovisionalestimatesuk/2024 | MIT test dataset energy-stage relationships</x:v>
      </x:c>
      <x:c r="AG103" s="18" t="str">
        <x:v>Estimated fabrication-stage greenhouse-gas emissions</x:v>
      </x:c>
      <x:c r="AH103" s="18" t="str">
        <x:v>An estimated allocation of UK manufacturing greenhouse-gas emissions to fabrication and manufacture, based on stage-energy proportions.</x:v>
      </x:c>
      <x:c r="AI103" s="18" t="str">
        <x:v>These emissions contribute to climate change, but the stage split is estimated from energy proportions and should not be read as an official inventory allocation.</x:v>
      </x:c>
      <x:c r="AJ103" s="18" t="str">
        <x:v>Not applicable</x:v>
      </x:c>
      <x:c r="AK103" s="18" t="str">
        <x:v>19.197 MtCO₂e | Fabrication-stage estimate | UK, 2024</x:v>
      </x:c>
      <x:c r="AL103" s="18" t="str">
        <x:v>ONS manufacturing GHG total + MIT global stage-energy proportions (data: 2024)</x:v>
      </x:c>
    </x:row>
    <x:row r="104">
      <x:c r="A104" s="18" t="str">
        <x:v>UK-GHG-003</x:v>
      </x:c>
      <x:c r="B104" s="18" t="str">
        <x:v>Extraction</x:v>
      </x:c>
      <x:c r="C104" s="18" t="str">
        <x:v>Atmospheric Emissions</x:v>
      </x:c>
      <x:c r="D104" s="18" t="str"/>
      <x:c r="E104" s="18" t="str"/>
      <x:c r="F104" s="18" t="str">
        <x:v>Extraction-stage GHG</x:v>
      </x:c>
      <x:c r="G104" s="18" t="str">
        <x:v>Emissions</x:v>
      </x:c>
      <x:c r="H104" s="20" t="str"/>
      <x:c r="I104" s="18" t="str"/>
      <x:c r="J104" s="18" t="str"/>
      <x:c r="K104" s="18" t="str"/>
      <x:c r="L104" s="18" t="str">
        <x:v>source_mapping_pending</x:v>
      </x:c>
      <x:c r="M104" s="18" t="str">
        <x:v>false</x:v>
      </x:c>
      <x:c r="N104" s="18" t="str">
        <x:v>false</x:v>
      </x:c>
      <x:c r="O104" s="18" t="str">
        <x:v>structural</x:v>
      </x:c>
      <x:c r="P104" s="18" t="str">
        <x:v>emissions_unresolved</x:v>
      </x:c>
      <x:c r="Q104" s="18" t="str"/>
      <x:c r="R104" s="18" t="str"/>
      <x:c r="S104" s="18" t="str">
        <x:v>ons_ghg_sic_mapping</x:v>
      </x:c>
      <x:c r="T104" s="18" t="str">
        <x:v>structural_required</x:v>
      </x:c>
      <x:c r="U104" s="18" t="str">
        <x:v>ONS_GHG_INDUSTRY</x:v>
      </x:c>
      <x:c r="V104" s="18" t="str">
        <x:v>ONS atmospheric emissions by industry and gas</x:v>
      </x:c>
      <x:c r="W104" s="18" t="str">
        <x:v>https://www.ons.gov.uk/economy/environmentalaccounts/datasets/ukenvironmentalaccountsatmosphericemissionsgreenhousegasemissionsbyeconomicsectorandgasunitedkingdom/current</x:v>
      </x:c>
      <x:c r="X104" s="18" t="str"/>
      <x:c r="Y104" s="18" t="str">
        <x:v>Needs SIC mining/quarrying extraction mapping. Do not use total manufacturing GHG for extraction.</x:v>
      </x:c>
      <x:c r="Z104" s="18" t="str"/>
      <x:c r="AA104" s="18" t="str">
        <x:v>pending</x:v>
      </x:c>
      <x:c r="AB104" s="18" t="str">
        <x:v>2026-07-24</x:v>
      </x:c>
      <x:c r="AC104" s="18" t="str"/>
      <x:c r="AD104" s="18" t="str"/>
      <x:c r="AE104" s="20" t="str"/>
      <x:c r="AF104" s="18" t="str"/>
      <x:c r="AG104" s="18" t="str">
        <x:v>Extraction-stage greenhouse-gas emissions</x:v>
      </x:c>
      <x:c r="AH104" s="18" t="str">
        <x:v>A recognised but unquantified atmospheric-emissions relationship associated with extraction and quarrying.</x:v>
      </x:c>
      <x:c r="AI104" s="18" t="str">
        <x:v>Atmospheric impacts are known to occur, but the current model does not yet assign a defensible quantity to this stage.</x:v>
      </x:c>
      <x:c r="AJ104" s="18" t="str">
        <x:v>Not applicable</x:v>
      </x:c>
      <x:c r="AK104" s="18" t="str">
        <x:v>Extraction emissions | Quantity unresolved | Not to scale</x:v>
      </x:c>
      <x:c r="AL104" s="18" t="str">
        <x:v>ONS atmospheric emissions by industry and gas (checked: 2026-07-24; data year not specified)</x:v>
      </x:c>
    </x:row>
    <x:row r="105">
      <x:c r="A105" s="18" t="str">
        <x:v>UK-GHG-004</x:v>
      </x:c>
      <x:c r="B105" s="18" t="str">
        <x:v>Use / Consumption</x:v>
      </x:c>
      <x:c r="C105" s="18" t="str">
        <x:v>Atmospheric Emissions</x:v>
      </x:c>
      <x:c r="D105" s="18" t="str"/>
      <x:c r="E105" s="18" t="str"/>
      <x:c r="F105" s="18" t="str">
        <x:v>Use-stage operational GHG</x:v>
      </x:c>
      <x:c r="G105" s="18" t="str">
        <x:v>Emissions</x:v>
      </x:c>
      <x:c r="H105" s="20" t="str"/>
      <x:c r="I105" s="18" t="str"/>
      <x:c r="J105" s="18" t="str"/>
      <x:c r="K105" s="18" t="str"/>
      <x:c r="L105" s="18" t="str">
        <x:v>product_dependent_placeholder</x:v>
      </x:c>
      <x:c r="M105" s="18" t="str">
        <x:v>false</x:v>
      </x:c>
      <x:c r="N105" s="18" t="str">
        <x:v>false</x:v>
      </x:c>
      <x:c r="O105" s="18" t="str">
        <x:v>structural</x:v>
      </x:c>
      <x:c r="P105" s="18" t="str">
        <x:v>emissions_unresolved</x:v>
      </x:c>
      <x:c r="Q105" s="18" t="str"/>
      <x:c r="R105" s="18" t="str"/>
      <x:c r="S105" s="18" t="str"/>
      <x:c r="T105" s="18" t="str">
        <x:v>structural_optional</x:v>
      </x:c>
      <x:c r="U105" s="18" t="str"/>
      <x:c r="V105" s="18" t="str"/>
      <x:c r="W105" s="18" t="str"/>
      <x:c r="X105" s="18" t="str"/>
      <x:c r="Y105" s="18" t="str">
        <x:v>Operational emissions vary radically by product: passive furniture/prosthetics versus vehicles, appliances and buildings. Quantify only in drill-down case studies.</x:v>
      </x:c>
      <x:c r="Z105" s="18" t="str"/>
      <x:c r="AA105" s="18" t="str">
        <x:v>conceptual</x:v>
      </x:c>
      <x:c r="AB105" s="18" t="str">
        <x:v>2026-07-24</x:v>
      </x:c>
      <x:c r="AC105" s="18" t="str"/>
      <x:c r="AD105" s="18" t="str"/>
      <x:c r="AE105" s="20" t="str"/>
      <x:c r="AF105" s="18" t="str"/>
      <x:c r="AG105" s="18" t="str">
        <x:v>Use-stage operational greenhouse-gas emissions</x:v>
      </x:c>
      <x:c r="AH105" s="18" t="str">
        <x:v>A recognised but unquantified relationship for emissions created while products are used or operated; values vary greatly by product type.</x:v>
      </x:c>
      <x:c r="AI105" s="18" t="str">
        <x:v>Atmospheric impacts are known to occur, but the current model does not yet assign a defensible quantity to this stage.</x:v>
      </x:c>
      <x:c r="AJ105" s="18" t="str">
        <x:v>Not applicable</x:v>
      </x:c>
      <x:c r="AK105" s="18" t="str">
        <x:v>Use-stage emissions | Quantity unresolved | Product dependent</x:v>
      </x:c>
      <x:c r="AL105" s="18" t="str">
        <x:v>Source not supplied</x:v>
      </x:c>
    </x:row>
    <x:row r="106">
      <x:c r="A106" s="18" t="str">
        <x:v>UK-GHG-005</x:v>
      </x:c>
      <x:c r="B106" s="18" t="str">
        <x:v>End of Use</x:v>
      </x:c>
      <x:c r="C106" s="18" t="str">
        <x:v>Atmospheric Emissions</x:v>
      </x:c>
      <x:c r="D106" s="18" t="str"/>
      <x:c r="E106" s="18" t="str"/>
      <x:c r="F106" s="18" t="str">
        <x:v>End-of-use treatment GHG</x:v>
      </x:c>
      <x:c r="G106" s="18" t="str">
        <x:v>Emissions</x:v>
      </x:c>
      <x:c r="H106" s="20" t="str"/>
      <x:c r="I106" s="18" t="str"/>
      <x:c r="J106" s="18" t="str"/>
      <x:c r="K106" s="18" t="str"/>
      <x:c r="L106" s="18" t="str">
        <x:v>source_mapping_pending</x:v>
      </x:c>
      <x:c r="M106" s="18" t="str">
        <x:v>false</x:v>
      </x:c>
      <x:c r="N106" s="18" t="str">
        <x:v>false</x:v>
      </x:c>
      <x:c r="O106" s="18" t="str">
        <x:v>structural</x:v>
      </x:c>
      <x:c r="P106" s="18" t="str">
        <x:v>emissions_unresolved</x:v>
      </x:c>
      <x:c r="Q106" s="18" t="str"/>
      <x:c r="R106" s="18" t="str"/>
      <x:c r="S106" s="18" t="str"/>
      <x:c r="T106" s="18" t="str">
        <x:v>structural_required</x:v>
      </x:c>
      <x:c r="U106" s="18" t="str">
        <x:v>UK_GHG_CONVERSION_FACTORS_2026</x:v>
      </x:c>
      <x:c r="V106" s="18" t="str">
        <x:v>UK Government GHG Conversion Factors 2026</x:v>
      </x:c>
      <x:c r="W106" s="18" t="str">
        <x:v>https://www.gov.uk/government/publications/greenhouse-gas-reporting-conversion-factors-2026</x:v>
      </x:c>
      <x:c r="X106" s="18" t="str"/>
      <x:c r="Y106" s="18" t="str">
        <x:v>Can later derive stage treatment emissions from waste quantities and route-specific conversion factors. Do not invent before treatment routes are mapped.</x:v>
      </x:c>
      <x:c r="Z106" s="18" t="str"/>
      <x:c r="AA106" s="18" t="str">
        <x:v>pending</x:v>
      </x:c>
      <x:c r="AB106" s="18" t="str">
        <x:v>2026-07-24</x:v>
      </x:c>
      <x:c r="AC106" s="18" t="str"/>
      <x:c r="AD106" s="18" t="str"/>
      <x:c r="AE106" s="20" t="str"/>
      <x:c r="AF106" s="18" t="str"/>
      <x:c r="AG106" s="18" t="str">
        <x:v>End-of-use treatment greenhouse-gas emissions</x:v>
      </x:c>
      <x:c r="AH106" s="18" t="str">
        <x:v>A recognised but unquantified relationship for emissions from collection, sorting, recycling, incineration and other end-of-use treatment.</x:v>
      </x:c>
      <x:c r="AI106" s="18" t="str">
        <x:v>Atmospheric impacts are known to occur, but the current model does not yet assign a defensible quantity to this stage.</x:v>
      </x:c>
      <x:c r="AJ106" s="18" t="str">
        <x:v>Not applicable</x:v>
      </x:c>
      <x:c r="AK106" s="18" t="str">
        <x:v>End-of-use emissions | Quantity unresolved | Not to scale</x:v>
      </x:c>
      <x:c r="AL106" s="18" t="str">
        <x:v>UK Government GHG Conversion Factors 2026 (checked: 2026-07-24; data year not specified)</x:v>
      </x:c>
    </x:row>
    <x:row r="107">
      <x:c r="A107" s="18" t="str">
        <x:v>UK-TRN-001</x:v>
      </x:c>
      <x:c r="B107" s="18" t="str">
        <x:v>Distribution / Transport</x:v>
      </x:c>
      <x:c r="C107" s="18" t="str">
        <x:v>Material Movement Service</x:v>
      </x:c>
      <x:c r="D107" s="18" t="str"/>
      <x:c r="E107" s="18" t="str"/>
      <x:c r="F107" s="18" t="str">
        <x:v>Domestic freight moved</x:v>
      </x:c>
      <x:c r="G107" s="18" t="str">
        <x:v>TransportService</x:v>
      </x:c>
      <x:c r="H107" s="20" t="n">
        <x:v>206</x:v>
      </x:c>
      <x:c r="I107" s="18" t="str">
        <x:v>billion tonne-km</x:v>
      </x:c>
      <x:c r="J107" s="18" t="str">
        <x:v>2024</x:v>
      </x:c>
      <x:c r="K107" s="18" t="str">
        <x:v>UK</x:v>
      </x:c>
      <x:c r="L107" s="18" t="str">
        <x:v>source_supported</x:v>
      </x:c>
      <x:c r="M107" s="18" t="str">
        <x:v>true</x:v>
      </x:c>
      <x:c r="N107" s="18" t="str">
        <x:v>false</x:v>
      </x:c>
      <x:c r="O107" s="18" t="str">
        <x:v>secondary</x:v>
      </x:c>
      <x:c r="P107" s="18" t="str">
        <x:v>distribution_transport</x:v>
      </x:c>
      <x:c r="Q107" s="18" t="str"/>
      <x:c r="R107" s="18" t="str"/>
      <x:c r="S107" s="18" t="str">
        <x:v>uk_freight_2024</x:v>
      </x:c>
      <x:c r="T107" s="18" t="str">
        <x:v>service_overlay</x:v>
      </x:c>
      <x:c r="U107" s="18" t="str">
        <x:v>DFT_FREIGHT_2024</x:v>
      </x:c>
      <x:c r="V107" s="18" t="str">
        <x:v>DfT Transport Statistics Great Britain — Freight</x:v>
      </x:c>
      <x:c r="W107" s="18" t="str">
        <x:v>https://www.gov.uk/government/statistics/transport-statistics-great-britain-2025/transport-statistics-great-britain-2024-freight</x:v>
      </x:c>
      <x:c r="X107" s="18" t="str">
        <x:v>206 billion tonne-km domestic freight moved; 82% by road</x:v>
      </x:c>
      <x:c r="Y107" s="18" t="str">
        <x:v>All domestic freight, not just manufactured products. Show as a separate service overlay, never as a material mass backbone quantity.</x:v>
      </x:c>
      <x:c r="Z107" s="18" t="str"/>
      <x:c r="AA107" s="18" t="str">
        <x:v>medium</x:v>
      </x:c>
      <x:c r="AB107" s="18" t="str">
        <x:v>2026-07-24</x:v>
      </x:c>
      <x:c r="AC107" s="18" t="str"/>
      <x:c r="AD107" s="18" t="str"/>
      <x:c r="AE107" s="20" t="str"/>
      <x:c r="AF107" s="18" t="str"/>
      <x:c r="AG107" s="18" t="str">
        <x:v>Domestic freight moved</x:v>
      </x:c>
      <x:c r="AH107" s="18" t="str">
        <x:v>The reported movement of all domestic freight in the UK, measured as tonne-kilometres rather than material mass.</x:v>
      </x:c>
      <x:c r="AI107" s="18" t="str">
        <x:v>Freight uses energy, creates emissions, noise and infrastructure pressures. The dataset covers broad freight activity and is not limited to the materials shown here.</x:v>
      </x:c>
      <x:c r="AJ107" s="18" t="str">
        <x:v>Not applicable</x:v>
      </x:c>
      <x:c r="AK107" s="18" t="str">
        <x:v>206 billion tonne-km freight | All domestic freight | UK, 2024</x:v>
      </x:c>
      <x:c r="AL107" s="18" t="str">
        <x:v>DfT Transport Statistics Great Britain — Freight (data: 2024)</x:v>
      </x:c>
    </x:row>
    <x:row r="108">
      <x:c r="A108" s="18" t="str">
        <x:v>UK-TRN-002</x:v>
      </x:c>
      <x:c r="B108" s="18" t="str">
        <x:v>Distribution / Transport</x:v>
      </x:c>
      <x:c r="C108" s="18" t="str">
        <x:v>Atmospheric Emissions</x:v>
      </x:c>
      <x:c r="D108" s="18" t="str"/>
      <x:c r="E108" s="18" t="str"/>
      <x:c r="F108" s="18" t="str">
        <x:v>HGV GHG emissions — freight proxy</x:v>
      </x:c>
      <x:c r="G108" s="18" t="str">
        <x:v>Emissions</x:v>
      </x:c>
      <x:c r="H108" s="20" t="n">
        <x:v>18.4</x:v>
      </x:c>
      <x:c r="I108" s="18" t="str">
        <x:v>MtCO2e</x:v>
      </x:c>
      <x:c r="J108" s="18" t="str">
        <x:v>2024</x:v>
      </x:c>
      <x:c r="K108" s="18" t="str">
        <x:v>UK domestic transport</x:v>
      </x:c>
      <x:c r="L108" s="18" t="str">
        <x:v>source_supported_scope_proxy</x:v>
      </x:c>
      <x:c r="M108" s="18" t="str">
        <x:v>true</x:v>
      </x:c>
      <x:c r="N108" s="18" t="str">
        <x:v>false</x:v>
      </x:c>
      <x:c r="O108" s="18" t="str">
        <x:v>secondary</x:v>
      </x:c>
      <x:c r="P108" s="18" t="str">
        <x:v>distribution_transport</x:v>
      </x:c>
      <x:c r="Q108" s="18" t="str"/>
      <x:c r="R108" s="18" t="str"/>
      <x:c r="S108" s="18" t="str">
        <x:v>uk_hgv_ghg_2024</x:v>
      </x:c>
      <x:c r="T108" s="18" t="str">
        <x:v>transport_emissions_proxy</x:v>
      </x:c>
      <x:c r="U108" s="18" t="str">
        <x:v>DFT_TRANSPORT_GHG_2024</x:v>
      </x:c>
      <x:c r="V108" s="18" t="str">
        <x:v>DfT Greenhouse gas emissions from transport in 2024</x:v>
      </x:c>
      <x:c r="W108" s="18" t="str">
        <x:v>https://www.gov.uk/government/statistics/transport-and-environment-statistics-2024--2/greenhouse-gas-emissions-from-transport-in-2024</x:v>
      </x:c>
      <x:c r="X108" s="18" t="str">
        <x:v>HGVs emitted 18.4 MtCO2e in 2024</x:v>
      </x:c>
      <x:c r="Y108" s="18" t="str">
        <x:v>HGV emissions are a broad freight proxy; not all HGV activity distributes manufactured goods represented in this Sankey.</x:v>
      </x:c>
      <x:c r="Z108" s="18" t="str"/>
      <x:c r="AA108" s="18" t="str">
        <x:v>medium</x:v>
      </x:c>
      <x:c r="AB108" s="18" t="str">
        <x:v>2026-07-24</x:v>
      </x:c>
      <x:c r="AC108" s="18" t="str"/>
      <x:c r="AD108" s="18" t="str"/>
      <x:c r="AE108" s="20" t="str"/>
      <x:c r="AF108" s="18" t="str"/>
      <x:c r="AG108" s="18" t="str">
        <x:v>Heavy goods vehicle greenhouse-gas emissions — freight proxy</x:v>
      </x:c>
      <x:c r="AH108" s="18" t="str">
        <x:v>The reported greenhouse-gas emissions from heavy goods vehicles, used here as a broad freight-emissions proxy.</x:v>
      </x:c>
      <x:c r="AI108" s="18" t="str">
        <x:v>Freight uses energy, creates emissions, noise and infrastructure pressures. The dataset covers broad freight activity and is not limited to the materials shown here.</x:v>
      </x:c>
      <x:c r="AJ108" s="18" t="str">
        <x:v>Not applicable</x:v>
      </x:c>
      <x:c r="AK108" s="18" t="str">
        <x:v>18.4 MtCO₂e heavy goods vehicles | Freight proxy | UK, 2024</x:v>
      </x:c>
      <x:c r="AL108" s="18" t="str">
        <x:v>DfT Greenhouse gas emissions from transport in 2024 (data: 2024)</x:v>
      </x:c>
    </x:row>
    <x:row r="109">
      <x:c r="A109" s="18" t="str">
        <x:v>UK-TRN-003</x:v>
      </x:c>
      <x:c r="B109" s="18" t="str">
        <x:v>Energy</x:v>
      </x:c>
      <x:c r="C109" s="18" t="str">
        <x:v>Distribution / Transport</x:v>
      </x:c>
      <x:c r="D109" s="18" t="str"/>
      <x:c r="E109" s="18" t="str"/>
      <x:c r="F109" s="18" t="str">
        <x:v>Transport energy for distribution</x:v>
      </x:c>
      <x:c r="G109" s="18" t="str">
        <x:v>Energy</x:v>
      </x:c>
      <x:c r="H109" s="20" t="str"/>
      <x:c r="I109" s="18" t="str"/>
      <x:c r="J109" s="18" t="str"/>
      <x:c r="K109" s="18" t="str"/>
      <x:c r="L109" s="18" t="str">
        <x:v>scope_mapping_pending</x:v>
      </x:c>
      <x:c r="M109" s="18" t="str">
        <x:v>false</x:v>
      </x:c>
      <x:c r="N109" s="18" t="str">
        <x:v>false</x:v>
      </x:c>
      <x:c r="O109" s="18" t="str">
        <x:v>structural</x:v>
      </x:c>
      <x:c r="P109" s="18" t="str">
        <x:v>distribution_transport</x:v>
      </x:c>
      <x:c r="Q109" s="18" t="str"/>
      <x:c r="R109" s="18" t="str"/>
      <x:c r="S109" s="18" t="str"/>
      <x:c r="T109" s="18" t="str">
        <x:v>structural_required</x:v>
      </x:c>
      <x:c r="U109" s="18" t="str">
        <x:v>DESNZ_ECUK_2025</x:v>
      </x:c>
      <x:c r="V109" s="18" t="str">
        <x:v>DESNZ Energy Consumption in the UK</x:v>
      </x:c>
      <x:c r="W109" s="18" t="str">
        <x:v>https://www.gov.uk/government/statistics/energy-consumption-in-the-uk-2025/energy-consumption-in-the-uk-ecuk-2025</x:v>
      </x:c>
      <x:c r="X109" s="18" t="str"/>
      <x:c r="Y109" s="18" t="str">
        <x:v>Transport energy exists, but total transport energy includes passenger transport and aviation. Await freight-specific allocation rather than using all 54.0 Mtoe.</x:v>
      </x:c>
      <x:c r="Z109" s="18" t="str"/>
      <x:c r="AA109" s="18" t="str">
        <x:v>pending</x:v>
      </x:c>
      <x:c r="AB109" s="18" t="str">
        <x:v>2026-07-24</x:v>
      </x:c>
      <x:c r="AC109" s="18" t="str"/>
      <x:c r="AD109" s="18" t="str"/>
      <x:c r="AE109" s="20" t="str"/>
      <x:c r="AF109" s="18" t="str"/>
      <x:c r="AG109" s="18" t="str">
        <x:v>Transport energy for distribution</x:v>
      </x:c>
      <x:c r="AH109" s="18" t="str">
        <x:v>A known but unquantified relationship representing the energy used to move materials and products between stages.</x:v>
      </x:c>
      <x:c r="AI109" s="18" t="str">
        <x:v>Freight uses energy, creates emissions, noise and infrastructure pressures. The dataset covers broad freight activity and is not limited to the materials shown here.</x:v>
      </x:c>
      <x:c r="AJ109" s="18" t="str">
        <x:v>Not applicable</x:v>
      </x:c>
      <x:c r="AK109" s="18" t="str">
        <x:v>Freight energy | Quantity unresolved | Not to scale</x:v>
      </x:c>
      <x:c r="AL109" s="18" t="str">
        <x:v>DESNZ Energy Consumption in the UK (checked: 2026-07-24; data year not specified)</x:v>
      </x:c>
    </x:row>
    <x:row r="110">
      <x:c r="A110" s="18" t="str">
        <x:v>UK-CONTEXT-001</x:v>
      </x:c>
      <x:c r="B110" s="18" t="str">
        <x:v>Multiple stages</x:v>
      </x:c>
      <x:c r="C110" s="18" t="str">
        <x:v>Land Disturbance</x:v>
      </x:c>
      <x:c r="D110" s="18" t="str"/>
      <x:c r="E110" s="18" t="str"/>
      <x:c r="F110" s="18" t="str">
        <x:v>Land Disturbance</x:v>
      </x:c>
      <x:c r="G110" s="18" t="str">
        <x:v>ContextualImpact</x:v>
      </x:c>
      <x:c r="H110" s="20" t="str"/>
      <x:c r="I110" s="18" t="str">
        <x:v>ha</x:v>
      </x:c>
      <x:c r="J110" s="18" t="str"/>
      <x:c r="K110" s="18" t="str"/>
      <x:c r="L110" s="18" t="str">
        <x:v>conceptual_placeholder</x:v>
      </x:c>
      <x:c r="M110" s="18" t="str">
        <x:v>false</x:v>
      </x:c>
      <x:c r="N110" s="18" t="str">
        <x:v>false</x:v>
      </x:c>
      <x:c r="O110" s="18" t="str">
        <x:v>annotation</x:v>
      </x:c>
      <x:c r="P110" s="18" t="str">
        <x:v>contextual_impacts</x:v>
      </x:c>
      <x:c r="Q110" s="18" t="str"/>
      <x:c r="R110" s="18" t="str"/>
      <x:c r="S110" s="18" t="str"/>
      <x:c r="T110" s="18" t="str">
        <x:v>annotation</x:v>
      </x:c>
      <x:c r="U110" s="18" t="str"/>
      <x:c r="V110" s="18" t="str"/>
      <x:c r="W110" s="18" t="str"/>
      <x:c r="X110" s="18" t="str"/>
      <x:c r="Y110" s="18" t="str">
        <x:v>Potentially quantifiable for quarrying/mining, landfill and site-specific case studies. Needs consistent stage boundary.</x:v>
      </x:c>
      <x:c r="Z110" s="18" t="str"/>
      <x:c r="AA110" s="18" t="str">
        <x:v>conceptual</x:v>
      </x:c>
      <x:c r="AB110" s="18" t="str">
        <x:v>2026-07-24</x:v>
      </x:c>
      <x:c r="AC110" s="18" t="str"/>
      <x:c r="AD110" s="18" t="str"/>
      <x:c r="AE110" s="20" t="str"/>
      <x:c r="AF110" s="18" t="str"/>
      <x:c r="AG110" s="18" t="str">
        <x:v>Land Disturbance</x:v>
      </x:c>
      <x:c r="AH110" s="18" t="str">
        <x:v>A placeholder for land disturbed by extraction, processing, infrastructure or disposal; no consistent quantity is assigned.</x:v>
      </x:c>
      <x:c r="AI110" s="18" t="str">
        <x:v>This relationship is included as a research prompt rather than a measured flow; a consistent metric and system boundary are still required.</x:v>
      </x:c>
      <x:c r="AJ110" s="18" t="str">
        <x:v>Not applicable</x:v>
      </x:c>
      <x:c r="AK110" s="18" t="str">
        <x:v>Land disturbance | Conceptual placeholder | No common metric</x:v>
      </x:c>
      <x:c r="AL110" s="18" t="str">
        <x:v>No direct quantitative source — conceptual or structural relationship</x:v>
      </x:c>
    </x:row>
    <x:row r="111">
      <x:c r="A111" s="18" t="str">
        <x:v>UK-CONTEXT-002</x:v>
      </x:c>
      <x:c r="B111" s="18" t="str">
        <x:v>Multiple stages</x:v>
      </x:c>
      <x:c r="C111" s="18" t="str">
        <x:v>Habitat Loss</x:v>
      </x:c>
      <x:c r="D111" s="18" t="str"/>
      <x:c r="E111" s="18" t="str"/>
      <x:c r="F111" s="18" t="str">
        <x:v>Habitat Loss</x:v>
      </x:c>
      <x:c r="G111" s="18" t="str">
        <x:v>ContextualImpact</x:v>
      </x:c>
      <x:c r="H111" s="20" t="str"/>
      <x:c r="I111" s="18" t="str">
        <x:v>ha / condition metric</x:v>
      </x:c>
      <x:c r="J111" s="18" t="str"/>
      <x:c r="K111" s="18" t="str"/>
      <x:c r="L111" s="18" t="str">
        <x:v>conceptual_placeholder</x:v>
      </x:c>
      <x:c r="M111" s="18" t="str">
        <x:v>false</x:v>
      </x:c>
      <x:c r="N111" s="18" t="str">
        <x:v>false</x:v>
      </x:c>
      <x:c r="O111" s="18" t="str">
        <x:v>annotation</x:v>
      </x:c>
      <x:c r="P111" s="18" t="str">
        <x:v>contextual_impacts</x:v>
      </x:c>
      <x:c r="Q111" s="18" t="str"/>
      <x:c r="R111" s="18" t="str"/>
      <x:c r="S111" s="18" t="str"/>
      <x:c r="T111" s="18" t="str">
        <x:v>annotation</x:v>
      </x:c>
      <x:c r="U111" s="18" t="str"/>
      <x:c r="V111" s="18" t="str"/>
      <x:c r="W111" s="18" t="str"/>
      <x:c r="X111" s="18" t="str"/>
      <x:c r="Y111" s="18" t="str">
        <x:v>Requires habitat-specific attribution; avoid converting generic extraction tonnage into habitat loss without spatial evidence.</x:v>
      </x:c>
      <x:c r="Z111" s="18" t="str"/>
      <x:c r="AA111" s="18" t="str">
        <x:v>conceptual</x:v>
      </x:c>
      <x:c r="AB111" s="18" t="str">
        <x:v>2026-07-24</x:v>
      </x:c>
      <x:c r="AC111" s="18" t="str"/>
      <x:c r="AD111" s="18" t="str"/>
      <x:c r="AE111" s="20" t="str"/>
      <x:c r="AF111" s="18" t="str"/>
      <x:c r="AG111" s="18" t="str">
        <x:v>Habitat Loss</x:v>
      </x:c>
      <x:c r="AH111" s="18" t="str">
        <x:v>A placeholder for habitat loss or degradation associated with material systems; no consistent quantity is assigned.</x:v>
      </x:c>
      <x:c r="AI111" s="18" t="str">
        <x:v>This relationship is included as a research prompt rather than a measured flow; a consistent metric and system boundary are still required.</x:v>
      </x:c>
      <x:c r="AJ111" s="18" t="str">
        <x:v>Not applicable</x:v>
      </x:c>
      <x:c r="AK111" s="18" t="str">
        <x:v>Habitat loss | Conceptual placeholder | No common metric</x:v>
      </x:c>
      <x:c r="AL111" s="18" t="str">
        <x:v>No direct quantitative source — conceptual or structural relationship</x:v>
      </x:c>
    </x:row>
    <x:row r="112">
      <x:c r="A112" s="18" t="str">
        <x:v>UK-CONTEXT-003</x:v>
      </x:c>
      <x:c r="B112" s="18" t="str">
        <x:v>Multiple stages</x:v>
      </x:c>
      <x:c r="C112" s="18" t="str">
        <x:v>Species Loss</x:v>
      </x:c>
      <x:c r="D112" s="18" t="str"/>
      <x:c r="E112" s="18" t="str"/>
      <x:c r="F112" s="18" t="str">
        <x:v>Species Loss</x:v>
      </x:c>
      <x:c r="G112" s="18" t="str">
        <x:v>ContextualImpact</x:v>
      </x:c>
      <x:c r="H112" s="20" t="str"/>
      <x:c r="I112" s="18" t="str">
        <x:v>indicator / count</x:v>
      </x:c>
      <x:c r="J112" s="18" t="str"/>
      <x:c r="K112" s="18" t="str"/>
      <x:c r="L112" s="18" t="str">
        <x:v>conceptual_placeholder</x:v>
      </x:c>
      <x:c r="M112" s="18" t="str">
        <x:v>false</x:v>
      </x:c>
      <x:c r="N112" s="18" t="str">
        <x:v>false</x:v>
      </x:c>
      <x:c r="O112" s="18" t="str">
        <x:v>annotation</x:v>
      </x:c>
      <x:c r="P112" s="18" t="str">
        <x:v>contextual_impacts</x:v>
      </x:c>
      <x:c r="Q112" s="18" t="str"/>
      <x:c r="R112" s="18" t="str"/>
      <x:c r="S112" s="18" t="str"/>
      <x:c r="T112" s="18" t="str">
        <x:v>annotation</x:v>
      </x:c>
      <x:c r="U112" s="18" t="str"/>
      <x:c r="V112" s="18" t="str"/>
      <x:c r="W112" s="18" t="str"/>
      <x:c r="X112" s="18" t="str"/>
      <x:c r="Y112" s="18" t="str">
        <x:v>Causal attribution to each manufacturing stage is complex; keep as annotation until a defensible indicator is selected.</x:v>
      </x:c>
      <x:c r="Z112" s="18" t="str"/>
      <x:c r="AA112" s="18" t="str">
        <x:v>conceptual</x:v>
      </x:c>
      <x:c r="AB112" s="18" t="str">
        <x:v>2026-07-24</x:v>
      </x:c>
      <x:c r="AC112" s="18" t="str"/>
      <x:c r="AD112" s="18" t="str"/>
      <x:c r="AE112" s="20" t="str"/>
      <x:c r="AF112" s="18" t="str"/>
      <x:c r="AG112" s="18" t="str">
        <x:v>Species Loss</x:v>
      </x:c>
      <x:c r="AH112" s="18" t="str">
        <x:v>A placeholder for species-level effects associated with material systems; no consistent quantity is assigned.</x:v>
      </x:c>
      <x:c r="AI112" s="18" t="str">
        <x:v>This relationship is included as a research prompt rather than a measured flow; a consistent metric and system boundary are still required.</x:v>
      </x:c>
      <x:c r="AJ112" s="18" t="str">
        <x:v>Not applicable</x:v>
      </x:c>
      <x:c r="AK112" s="18" t="str">
        <x:v>Species loss | Conceptual placeholder | No common metric</x:v>
      </x:c>
      <x:c r="AL112" s="18" t="str">
        <x:v>No direct quantitative source — conceptual or structural relationship</x:v>
      </x:c>
    </x:row>
    <x:row r="113">
      <x:c r="A113" s="18" t="str">
        <x:v>UK-CONTEXT-004</x:v>
      </x:c>
      <x:c r="B113" s="18" t="str">
        <x:v>Multiple stages</x:v>
      </x:c>
      <x:c r="C113" s="18" t="str">
        <x:v>Labour Exploitation</x:v>
      </x:c>
      <x:c r="D113" s="18" t="str"/>
      <x:c r="E113" s="18" t="str"/>
      <x:c r="F113" s="18" t="str">
        <x:v>Labour Exploitation</x:v>
      </x:c>
      <x:c r="G113" s="18" t="str">
        <x:v>ContextualImpact</x:v>
      </x:c>
      <x:c r="H113" s="20" t="str"/>
      <x:c r="I113" s="18" t="str">
        <x:v>social indicator</x:v>
      </x:c>
      <x:c r="J113" s="18" t="str"/>
      <x:c r="K113" s="18" t="str"/>
      <x:c r="L113" s="18" t="str">
        <x:v>conceptual_placeholder</x:v>
      </x:c>
      <x:c r="M113" s="18" t="str">
        <x:v>false</x:v>
      </x:c>
      <x:c r="N113" s="18" t="str">
        <x:v>false</x:v>
      </x:c>
      <x:c r="O113" s="18" t="str">
        <x:v>annotation</x:v>
      </x:c>
      <x:c r="P113" s="18" t="str">
        <x:v>contextual_impacts</x:v>
      </x:c>
      <x:c r="Q113" s="18" t="str"/>
      <x:c r="R113" s="18" t="str"/>
      <x:c r="S113" s="18" t="str"/>
      <x:c r="T113" s="18" t="str">
        <x:v>annotation</x:v>
      </x:c>
      <x:c r="U113" s="18" t="str"/>
      <x:c r="V113" s="18" t="str"/>
      <x:c r="W113" s="18" t="str"/>
      <x:c r="X113" s="18" t="str"/>
      <x:c r="Y113" s="18" t="str">
        <x:v>Important critical relationship but not commensurate with material/energy ribbons. Requires a defined social-risk metric.</x:v>
      </x:c>
      <x:c r="Z113" s="18" t="str"/>
      <x:c r="AA113" s="18" t="str">
        <x:v>conceptual</x:v>
      </x:c>
      <x:c r="AB113" s="18" t="str">
        <x:v>2026-07-24</x:v>
      </x:c>
      <x:c r="AC113" s="18" t="str"/>
      <x:c r="AD113" s="18" t="str"/>
      <x:c r="AE113" s="20" t="str"/>
      <x:c r="AF113" s="18" t="str"/>
      <x:c r="AG113" s="18" t="str">
        <x:v>Labour Exploitation</x:v>
      </x:c>
      <x:c r="AH113" s="18" t="str">
        <x:v>A placeholder for labour exploitation and unequal social risk within material supply chains; no quantitative indicator is assigned.</x:v>
      </x:c>
      <x:c r="AI113" s="18" t="str">
        <x:v>This relationship is included as a research prompt rather than a measured flow; a consistent metric and system boundary are still required.</x:v>
      </x:c>
      <x:c r="AJ113" s="18" t="str">
        <x:v>Not applicable</x:v>
      </x:c>
      <x:c r="AK113" s="18" t="str">
        <x:v>Labour exploitation | Conceptual placeholder | No common metric</x:v>
      </x:c>
      <x:c r="AL113" s="18" t="str">
        <x:v>No direct quantitative source — conceptual or structural relationship</x:v>
      </x:c>
    </x:row>
  </x:sheetData>
  <x:dataValidations count="1">
    <x:dataValidation type="list" sqref="AJ2:AJ500">
      <x:formula1>Lists!$A$2:$A$10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e1aaa952f745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</x:cols>
  <x:sheetData>
    <x:row r="1">
      <x:c r="A1" s="5" t="str">
        <x:v>recovery_process</x:v>
      </x:c>
    </x:row>
    <x:row r="2">
      <x:c r="A2" t="str">
        <x:v>Direct reuse</x:v>
      </x:c>
    </x:row>
    <x:row r="3">
      <x:c r="A3" t="str">
        <x:v>Recycling</x:v>
      </x:c>
    </x:row>
    <x:row r="4">
      <x:c r="A4" t="str">
        <x:v>Downcycling</x:v>
      </x:c>
    </x:row>
    <x:row r="5">
      <x:c r="A5" t="str">
        <x:v>Upcycling</x:v>
      </x:c>
    </x:row>
    <x:row r="6">
      <x:c r="A6" t="str">
        <x:v>Collection only</x:v>
      </x:c>
    </x:row>
    <x:row r="7">
      <x:c r="A7" t="str">
        <x:v>Combined reuse or recycling</x:v>
      </x:c>
    </x:row>
    <x:row r="8">
      <x:c r="A8" t="str">
        <x:v>Recovered secondary material</x:v>
      </x:c>
    </x:row>
    <x:row r="9">
      <x:c r="A9" t="str">
        <x:v>Recovery unspecified</x:v>
      </x:c>
    </x:row>
    <x:row r="10">
      <x:c r="A10" t="str">
        <x:v>Not applicable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24" t="str">
        <x:v>STAGE 1 — FLOW DATABASE</x:v>
      </x:c>
      <x:c r="B1" t="str"/>
    </x:row>
    <x:row r="2">
      <x:c r="A2" s="34" t="str">
        <x:v>Purpose</x:v>
      </x:c>
      <x:c r="B2" s="18" t="str">
        <x:v>This workbook is an editable version of the active Stage 1 flow CSV. The website still loads the CSV, not this XLSX file.</x:v>
      </x:c>
    </x:row>
    <x:row r="3">
      <x:c r="A3" s="34" t="str">
        <x:v>After editing</x:v>
      </x:c>
      <x:c r="B3" s="18" t="str">
        <x:v>Save the Flow Database sheet back to CSV using the exact filename expected by the website, or ask Codex to export/update the CSV from this workbook.</x:v>
      </x:c>
    </x:row>
    <x:row r="4">
      <x:c r="A4" s="34" t="str">
        <x:v>Existing columns</x:v>
      </x:c>
      <x:c r="B4" s="18" t="str">
        <x:v>Columns A–AF contain quantitative evidence, provenance, mapping and rendering data. Do not delete or rename them.</x:v>
      </x:c>
    </x:row>
    <x:row r="5">
      <x:c r="A5" s="34" t="str">
        <x:v>Stage 1 columns</x:v>
      </x:c>
      <x:c r="B5" s="18" t="str">
        <x:v>Columns AG–AL contain the written interface content added during Stage 1.</x:v>
      </x:c>
    </x:row>
    <x:row r="6">
      <x:c r="A6" s="34" t="str">
        <x:v>display_title</x:v>
      </x:c>
      <x:c r="B6" s="18" t="str">
        <x:v>Clear human-readable name of the individual ribbon. Do not repeat the visible source-to-target route.</x:v>
      </x:c>
    </x:row>
    <x:row r="7">
      <x:c r="A7" s="34" t="str">
        <x:v>what_is_represented</x:v>
      </x:c>
      <x:c r="B7" s="18" t="str">
        <x:v>A concise factual explanation of what the value or unresolved relationship represents.</x:v>
      </x:c>
    </x:row>
    <x:row r="8">
      <x:c r="A8" s="34" t="str">
        <x:v>ecological_impact</x:v>
      </x:c>
      <x:c r="B8" s="18" t="str">
        <x:v>A short ecological implication grounded in the material or process represented.</x:v>
      </x:c>
    </x:row>
    <x:row r="9">
      <x:c r="A9" s="34" t="str">
        <x:v>recovery_process</x:v>
      </x:c>
      <x:c r="B9" s="18" t="str">
        <x:v>Controlled classification used to distinguish direct reuse, recycling, downcycling, collection-only and ambiguous recovery routes.</x:v>
      </x:c>
    </x:row>
    <x:row r="10">
      <x:c r="A10" s="34" t="str">
        <x:v>hover_summary</x:v>
      </x:c>
      <x:c r="B10" s="18" t="str">
        <x:v>Short pointer-adjacent summary. Use the pipe character | to separate the intended lines.</x:v>
      </x:c>
    </x:row>
    <x:row r="11">
      <x:c r="A11" s="34" t="str">
        <x:v>source_display</x:v>
      </x:c>
      <x:c r="B11" s="18" t="str">
        <x:v>Readable source name including its data year or temporal basis.</x:v>
      </x:c>
    </x:row>
    <x:row r="12">
      <x:c r="A12" s="34" t="str">
        <x:v>Important</x:v>
      </x:c>
      <x:c r="B12" s="18" t="str">
        <x:v>Do not add Stage 2 node problems or Stage 3 ecological counterflows to this flow database.</x:v>
      </x:c>
    </x:row>
  </x:sheetData>
  <x:mergeCells>
    <x:mergeCell ref="A1:B1"/>
  </x:mergeCells>
  <x:pageMargins left="0.7" right="0.7" top="0.75" bottom="0.75" header="0.3" footer="0.3"/>
</x:worksheet>
</file>