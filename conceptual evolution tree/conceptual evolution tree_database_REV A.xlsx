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dilanozkan/Documents/VS Studio/2026_DRS Making Sustainability /conceptual evolution tree/"/>
    </mc:Choice>
  </mc:AlternateContent>
  <xr:revisionPtr revIDLastSave="0" documentId="8_{88F8D80C-913C-AF44-848F-C3FB424D538E}" xr6:coauthVersionLast="47" xr6:coauthVersionMax="47" xr10:uidLastSave="{00000000-0000-0000-0000-000000000000}"/>
  <bookViews>
    <workbookView xWindow="0" yWindow="1480" windowWidth="27240" windowHeight="15220" xr2:uid="{58B0C2D4-4C99-0C4A-8582-462C80AA03DE}"/>
  </bookViews>
  <sheets>
    <sheet name="conceptual evolution tree_datab" sheetId="1" r:id="rId1"/>
    <sheet name="Classification Options" sheetId="2" r:id="rId2"/>
  </sheets>
  <definedNames>
    <definedName name="ArtefactTypeOptions">'Classification Options'!$N$2:$N$13</definedName>
    <definedName name="ConceptTagOptions">'Classification Options'!$M$2:$M$19</definedName>
    <definedName name="DiscourseOptions">'Classification Options'!$F$2:$F$10</definedName>
    <definedName name="DomainInteractionOptions">'Classification Options'!$H$2:$H$13</definedName>
    <definedName name="InteractingScaleOptions">'Classification Options'!$J$2:$J$13</definedName>
    <definedName name="InterScalarOptions">'Classification Options'!$I$2:$I$11</definedName>
    <definedName name="MutationOptions">'Classification Options'!$D$2:$D$20</definedName>
    <definedName name="RelationalTypeOptions">'Classification Options'!$L$2:$L$13</definedName>
    <definedName name="Scaffold_Type_Sectors_Options">'Classification Options'!$E$2:$E$11</definedName>
    <definedName name="StateOptions">'Classification Options'!$C$2:$C$13</definedName>
    <definedName name="SystemConditionOptions">'Classification Options'!$G$2:$G$10</definedName>
    <definedName name="TemporalCharacterOptions">'Classification Options'!$K$2:$K$13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 l="1"/>
  <c r="C17" i="1"/>
  <c r="C16" i="1"/>
  <c r="C27" i="1"/>
  <c r="C2" i="1"/>
  <c r="C13" i="1"/>
  <c r="C14" i="1"/>
  <c r="C15" i="1"/>
  <c r="C12" i="1"/>
  <c r="C8" i="1"/>
  <c r="C11" i="1"/>
  <c r="C10" i="1"/>
  <c r="C9" i="1"/>
  <c r="C7" i="1"/>
  <c r="C6" i="1"/>
  <c r="C5" i="1"/>
  <c r="C4" i="1"/>
  <c r="C3" i="1"/>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2" i="2"/>
</calcChain>
</file>

<file path=xl/sharedStrings.xml><?xml version="1.0" encoding="utf-8"?>
<sst xmlns="http://schemas.openxmlformats.org/spreadsheetml/2006/main" count="541" uniqueCount="241">
  <si>
    <t>ID Number</t>
  </si>
  <si>
    <t>Project</t>
  </si>
  <si>
    <t>Combined ID Number + Project</t>
  </si>
  <si>
    <t>State</t>
  </si>
  <si>
    <t>Parent Project ID</t>
  </si>
  <si>
    <t>Mutation</t>
  </si>
  <si>
    <t>Scaffold Type Sectors</t>
  </si>
  <si>
    <t>Discourse</t>
  </si>
  <si>
    <t>System Condition</t>
  </si>
  <si>
    <t>Temporal Character</t>
  </si>
  <si>
    <t>Relational Type</t>
  </si>
  <si>
    <t>Concept Tags</t>
  </si>
  <si>
    <t>Artefact Type</t>
  </si>
  <si>
    <t>Source material folder</t>
  </si>
  <si>
    <t>Video Link</t>
  </si>
  <si>
    <t>Webpage slug</t>
  </si>
  <si>
    <t>What it helped me think</t>
  </si>
  <si>
    <t>What question it opened</t>
  </si>
  <si>
    <t>Possible future mutation</t>
  </si>
  <si>
    <t>Possible mutation note</t>
  </si>
  <si>
    <t>Related references</t>
  </si>
  <si>
    <t>Questions Raised</t>
  </si>
  <si>
    <t>001</t>
  </si>
  <si>
    <t>Mineral Accretion</t>
  </si>
  <si>
    <t>Rigid</t>
  </si>
  <si>
    <t>Non [Analogue]</t>
  </si>
  <si>
    <t>closed</t>
  </si>
  <si>
    <t>Materials</t>
  </si>
  <si>
    <t>event-based</t>
  </si>
  <si>
    <t>stimulus-response</t>
  </si>
  <si>
    <t>turbulence</t>
  </si>
  <si>
    <t>prototype</t>
  </si>
  <si>
    <t>Material behaviour can be directed through modulated stimuli rather than fixed form.</t>
  </si>
  <si>
    <t>What happens when multiple stimuli overlap, interfere, or override one another?</t>
  </si>
  <si>
    <t>localised growth</t>
  </si>
  <si>
    <t>localised growth through distributed, localised  stimulus fields</t>
  </si>
  <si>
    <t>Which ideas arose independently from this starting point? | Does this project operate at one scale, or span several simultaneously?</t>
  </si>
  <si>
    <t>002</t>
  </si>
  <si>
    <t>Mineral Accretion: Variable Properties</t>
  </si>
  <si>
    <t>scaffold type</t>
  </si>
  <si>
    <t>What changed even though the Scale of Interaction remained Materials? | Does this project operate at one scale, or span several simultaneously?</t>
  </si>
  <si>
    <t>003</t>
  </si>
  <si>
    <t>Mineral Accretion: Data Informed Variable Properties</t>
  </si>
  <si>
    <t>digital communication</t>
  </si>
  <si>
    <t>Non [Digital]</t>
  </si>
  <si>
    <t>time-shift</t>
  </si>
  <si>
    <t>004</t>
  </si>
  <si>
    <t>Mineral Accretion: Feedback</t>
  </si>
  <si>
    <t>system-closing</t>
  </si>
  <si>
    <t>Feedback [Digital]</t>
  </si>
  <si>
    <t>cyclical</t>
  </si>
  <si>
    <t>exchange</t>
  </si>
  <si>
    <t>relational unflattening</t>
  </si>
  <si>
    <t>system-opening</t>
  </si>
  <si>
    <t>005</t>
  </si>
  <si>
    <t>2D Paint Patterns</t>
  </si>
  <si>
    <t>Liquid</t>
  </si>
  <si>
    <t>available adaptation</t>
  </si>
  <si>
    <t>006</t>
  </si>
  <si>
    <t>3D Paint Patterns</t>
  </si>
  <si>
    <t>dimensions-shift</t>
  </si>
  <si>
    <t>state-shift</t>
  </si>
  <si>
    <t>009</t>
  </si>
  <si>
    <t>Magnetised Wax</t>
  </si>
  <si>
    <t>material-shift</t>
  </si>
  <si>
    <t>Stimuli + State</t>
  </si>
  <si>
    <t>temporal interactions</t>
  </si>
  <si>
    <t>scale-shift</t>
  </si>
  <si>
    <t>010</t>
  </si>
  <si>
    <t>Magnetised Thermoplastics: Material Samples</t>
  </si>
  <si>
    <t>extension</t>
  </si>
  <si>
    <t>011</t>
  </si>
  <si>
    <t>Magnetised Thermoplastics: Speculative Prosthetics</t>
  </si>
  <si>
    <t>Bodies</t>
  </si>
  <si>
    <t>evolvable parameters</t>
  </si>
  <si>
    <t>domain-shift</t>
  </si>
  <si>
    <t>What changes when this idea moves from Materials to Bodies? | Does this project operate at one scale, or span several simultaneously?</t>
  </si>
  <si>
    <t>012</t>
  </si>
  <si>
    <t>Windows of Influence</t>
  </si>
  <si>
    <t>abstraction</t>
  </si>
  <si>
    <t>Digital</t>
  </si>
  <si>
    <t>open</t>
  </si>
  <si>
    <t>Ecologies</t>
  </si>
  <si>
    <t>speculative</t>
  </si>
  <si>
    <t>cascade</t>
  </si>
  <si>
    <t>ecological attunement</t>
  </si>
  <si>
    <t>webpage</t>
  </si>
  <si>
    <t>What changes when this idea moves from Bodies to Ecologies? | What persists when the scaffold changes from Stimuli + State to Digital? | Where did a closed system become open? | Does this project operate at one scale, or span several simultaneously?</t>
  </si>
  <si>
    <t>013</t>
  </si>
  <si>
    <t>Ecological Twinning</t>
  </si>
  <si>
    <t>Governance</t>
  </si>
  <si>
    <t>pause</t>
  </si>
  <si>
    <t>What mutated?</t>
  </si>
  <si>
    <t>What did that mutation make possible?</t>
  </si>
  <si>
    <t>Lenses/Domains of  Interaction</t>
  </si>
  <si>
    <t>Interscalar relationships</t>
  </si>
  <si>
    <t>No</t>
  </si>
  <si>
    <t>Maybe</t>
  </si>
  <si>
    <t>Yes</t>
  </si>
  <si>
    <t>What was inherited / persisted traits?</t>
  </si>
  <si>
    <t>Forming</t>
  </si>
  <si>
    <t>Executed</t>
  </si>
  <si>
    <t>Informal</t>
  </si>
  <si>
    <t xml:space="preserve">Articulated </t>
  </si>
  <si>
    <t>Suspended</t>
  </si>
  <si>
    <t>Evolving;</t>
  </si>
  <si>
    <t>Dead</t>
  </si>
  <si>
    <t>Interacting Scale</t>
  </si>
  <si>
    <t>Interacting Scales</t>
  </si>
  <si>
    <t>NA</t>
  </si>
  <si>
    <t>Objects</t>
  </si>
  <si>
    <t>diagram</t>
  </si>
  <si>
    <t>semi-open</t>
  </si>
  <si>
    <t>maintenance</t>
  </si>
  <si>
    <t>inversion</t>
  </si>
  <si>
    <t>seasonal</t>
  </si>
  <si>
    <t>leak</t>
  </si>
  <si>
    <t>zombie mode</t>
  </si>
  <si>
    <t>contested</t>
  </si>
  <si>
    <t>developmental</t>
  </si>
  <si>
    <t>zine</t>
  </si>
  <si>
    <t>lifecycle</t>
  </si>
  <si>
    <t>recouple</t>
  </si>
  <si>
    <t>matrix rogues</t>
  </si>
  <si>
    <t>film</t>
  </si>
  <si>
    <t>intergenerational</t>
  </si>
  <si>
    <t>governance</t>
  </si>
  <si>
    <t>sensor system</t>
  </si>
  <si>
    <t>memory-based</t>
  </si>
  <si>
    <t>dissent</t>
  </si>
  <si>
    <t>contested regions</t>
  </si>
  <si>
    <t>database</t>
  </si>
  <si>
    <t>governance leakiness</t>
  </si>
  <si>
    <t>speculative interface</t>
  </si>
  <si>
    <t>future</t>
  </si>
  <si>
    <t>ghosts</t>
  </si>
  <si>
    <t>dissenting twins</t>
  </si>
  <si>
    <t>hybridisation</t>
  </si>
  <si>
    <t>non-identical twins</t>
  </si>
  <si>
    <t>materialisation</t>
  </si>
  <si>
    <t>dead-end</t>
  </si>
  <si>
    <t>Contrasting Scaffolds</t>
  </si>
  <si>
    <t>https://vimeo.com/572608032?share=copy&amp;fl=sv&amp;fe=ci</t>
  </si>
  <si>
    <t>https://vimeo.com/752086072?share=copy&amp;fl=sv&amp;fe=ci</t>
  </si>
  <si>
    <t>https://vimeo.com/712054727?share=copy&amp;fl=sv&amp;fe=ci</t>
  </si>
  <si>
    <t>https://vimeo.com/380372447</t>
  </si>
  <si>
    <t>https://vimeo.com/367431096</t>
  </si>
  <si>
    <t>https://vimeo.com/270687667</t>
  </si>
  <si>
    <t>007</t>
  </si>
  <si>
    <t>008</t>
  </si>
  <si>
    <t>014</t>
  </si>
  <si>
    <t>015</t>
  </si>
  <si>
    <t>016</t>
  </si>
  <si>
    <t>017</t>
  </si>
  <si>
    <t>018</t>
  </si>
  <si>
    <t>https://vimeo.com/274898577</t>
  </si>
  <si>
    <t>Lenses/Domains of  Interactaion</t>
  </si>
  <si>
    <t>Magnetised Thermoplastics: Sensor Interactions</t>
  </si>
  <si>
    <t>Linear Manufacturing</t>
  </si>
  <si>
    <t>000</t>
  </si>
  <si>
    <t>Predominates</t>
  </si>
  <si>
    <t>Non</t>
  </si>
  <si>
    <t>Industry</t>
  </si>
  <si>
    <t>Mass Production</t>
  </si>
  <si>
    <t>How can discourse be maintained with the material make up of objects/structures so they can be repaired and updated on demand?</t>
  </si>
  <si>
    <t>When mechanisms enable remote updates to be pushed into an objects or structures material makeup to enable multi-material updates and repair?</t>
  </si>
  <si>
    <t>Multi-adaptive structures</t>
  </si>
  <si>
    <t>019</t>
  </si>
  <si>
    <t>020</t>
  </si>
  <si>
    <t>021</t>
  </si>
  <si>
    <t>022</t>
  </si>
  <si>
    <t>023</t>
  </si>
  <si>
    <t>024</t>
  </si>
  <si>
    <t>0XX</t>
  </si>
  <si>
    <t>Ecological Systems</t>
  </si>
  <si>
    <t>Universal</t>
  </si>
  <si>
    <t>Interscalar</t>
  </si>
  <si>
    <t>Various</t>
  </si>
  <si>
    <t xml:space="preserve">How can we create structures to </t>
  </si>
  <si>
    <t>Phased Scaffolding</t>
  </si>
  <si>
    <t xml:space="preserve">How predefined system relationships between sensor association and material properties fluctuate, decouple and reform through time when interacting with multi-responsive materials. Highlighting the need for design processes to be based upon dynamic reparameterisation or evolvable parameter spaces. </t>
  </si>
  <si>
    <t>Change of dimensions (2D to 3D) and material states govern the types of interactions and material properties that are preserved, predominate and overwrite. Additionally, this breakdown of discourse is further highlighted when applying the closed material system to medical prosthetics, as the material and closed material system interface with a patient’s adaptive residual limb.</t>
  </si>
  <si>
    <t>The ability to iteratively update multiple material properties of a state-changing material highlighted implications of legacy and lag across iterative interactions.</t>
  </si>
  <si>
    <t>What applications suit multi-material responses and iterative updates? What are the implications of the applications? What is the role of material memory and history within a system?</t>
  </si>
  <si>
    <t>How can the parameter space and system governing stumuli modulation become attuned to nuance and emergence when interacting with multi-responsive mateirals.</t>
  </si>
  <si>
    <t xml:space="preserve">How can finer interactions be achieved or maintained when shifting from 2D to 3D forms? What are the implications of developing closed material systems and the resultant materials/structures in relation to discourse with open systems and finite resources? </t>
  </si>
  <si>
    <t>How can discourse be reparamterised on the fly? How can meaningful discourse with open/evolvable systems, like biological ecosystems, be facilitated so systems and structure can become attuned with entangled ecological processes?</t>
  </si>
  <si>
    <t>Depending on their state, interactions with materials are not a binary or homogeneous discourse. Materials have windows in which certain responses can be elicited, and various properties are coupled and decoupled. How can meaningful discourse with entangled open systems be facilitated?</t>
  </si>
  <si>
    <t xml:space="preserve">Within an ecology, entities have various life cycles and form dynamic relationships through time because of the 'scaffolds' created, which inform these relationships. </t>
  </si>
  <si>
    <t>What does it mean to design through time for a structure or entities’ lifecycles to open up discourse and mutual relationships within open systems? How can the phasing of scaffolds help to facilitate exchanges to rejuvenate ecologies?</t>
  </si>
  <si>
    <t>Under development</t>
  </si>
  <si>
    <t>Hierarchical States</t>
  </si>
  <si>
    <t>When producing multi-material properties in two dimensions, forming the 2D sample into a 3D object results in shape change overriding previous multi-material interactions. This requires either in-dimension interactions or a wider range of material states beyond the binary liquid-solid to enable a broader range of hierarchies that govern which interactions can occur and which are preserved, i.e., hierarchical states.</t>
  </si>
  <si>
    <t>How can a wider range of material states be achieved that enable multiple types of interactions to occur in various dimensions without negatively impacting previous ones?</t>
  </si>
  <si>
    <t>Tuneable Environments</t>
  </si>
  <si>
    <t>All</t>
  </si>
  <si>
    <t>Constrasting Scaffolds</t>
  </si>
  <si>
    <t>Paper Link</t>
  </si>
  <si>
    <t>Stimuli can act as a shared medium through which digital representations, active materials and situated conditions remain in discourse.</t>
  </si>
  <si>
    <t>How can digital, material and ecological systems continually influence one another without reducing their relationships to fixed parameters or unilateral control?</t>
  </si>
  <si>
    <t>/Users/dilanozkan/Documents/VS Studio/2026_DRS Making Sustainability /conceptual evolution tree/content_016_Tuneable Environments</t>
  </si>
  <si>
    <t>/Users/dilanozkan/Documents/VS Studio/2026_DRS Making Sustainability /conceptual evolution tree/content_009_Magnetised Thermoplastics_Material Samples</t>
  </si>
  <si>
    <t>/Users/dilanozkan/Documents/VS Studio/2026_DRS Making Sustainability /conceptual evolution tree/content_010_MAGNETISED THERMOPLASTICS_SENSOR INTERACTIONS</t>
  </si>
  <si>
    <t>/Users/dilanozkan/Documents/VS Studio/2026_DRS Making Sustainability /conceptual evolution tree/content_011_MAGNETISED THERMOPLASTICS_ SPECULATIVE PROSTHETICS</t>
  </si>
  <si>
    <t>Date</t>
  </si>
  <si>
    <t>Adaptive Materials: Utilising Additive Manufactured Scaffolds to Control Self-Organising Material Aggregation</t>
  </si>
  <si>
    <t xml:space="preserve">Paper Title </t>
  </si>
  <si>
    <t>https://www.researchgate.net/publication/340398063_Adaptive_Materials_Utilising_additive_manufactured_scaffolds_to_control_self-organising_material_aggregation</t>
  </si>
  <si>
    <t>Directing Self-Assembly to Grow Adaptive Physical Structures</t>
  </si>
  <si>
    <t>https://purehost.bath.ac.uk/ws/portalfiles/portal/214934589/IJRAPIDM_Self_assembly.pdf?utm_source=chatgpt.com</t>
  </si>
  <si>
    <t>Designing Parametric Matter</t>
  </si>
  <si>
    <t>https://purehost.bath.ac.uk/ws/portalfiles/portal/211080308/IASDR19_ParametrcMatter_1_.pdf?utm_source=chatgpt.com</t>
  </si>
  <si>
    <t>Material Units: Uploading Information into Matter via Stimuli and the Challenges of Determining Feedback</t>
  </si>
  <si>
    <t>https://eprints.lancs.ac.uk/id/eprint/160690/1/ecaade2021_012.pdf</t>
  </si>
  <si>
    <t>Prototyping Circular Materials Based on Reprogrammable Matter</t>
  </si>
  <si>
    <t>https://eprints.lancs.ac.uk/id/eprint/163248/</t>
  </si>
  <si>
    <t>Designing Parametric Matter: Exploring adaptive self-assembly through tuneable environments</t>
  </si>
  <si>
    <t>https://www.proquest.com/openview/45e84b53f30acdd09afcf76871d5eced/1?pq-origsite=gscholar&amp;cbl=18750&amp;diss=y</t>
  </si>
  <si>
    <t>Parametric Matter: ‘Pushing’ Updates into Materials and the Implications of Legacy and Lag</t>
  </si>
  <si>
    <t>Different material properties can be grown from one abundant source by tuning the relationships between electrical current, time, turbulence and scaffold conditions.</t>
  </si>
  <si>
    <t>How can designers coordinate environmental conditions to localise material type, volume and resolution while retaining the adaptive capacities of self-organising matter?</t>
  </si>
  <si>
    <t>Digital data can be translated into localised stimuli to inform the growth of variable material properties.</t>
  </si>
  <si>
    <t>How can the digital system receive information about what actually formed, rather than only prescribing the conditions for material growth?</t>
  </si>
  <si>
    <t>Material activity can indirectly communicate its changing state through the effects it produces within the wider fabrication system.</t>
  </si>
  <si>
    <t>How can reliable associations be established between sensed system changes, particular material properties and the subsequent actions taken by a digital system?</t>
  </si>
  <si>
    <t>Contrasts between materials, surfaces and situated conditions can act as flexible scaffolds that guide self-organisation without fully prescribing its outcome.</t>
  </si>
  <si>
    <t>How can designers use material contrast to provide sufficient direction while retaining variation, emergence and the material system’s capacity to self-organise?</t>
  </si>
  <si>
    <t>Interfaces between contrasting support media can operate as active three-dimensional scaffolds and produce different material behaviours within the same volume.</t>
  </si>
  <si>
    <t>How can liquid interfaces, diffusion and contrasting support conditions be designed to guide delicate volumetric material formation without a rigid scaffold?</t>
  </si>
  <si>
    <t>Three-dimensional material patterns can be guided by tuning the viscosity of surrounding support media and the agitation applied to them.</t>
  </si>
  <si>
    <t>How can changing support conditions and induced movement guide volumetric material formation while allowing patterns to remain open to further adaptation?</t>
  </si>
  <si>
    <t>Circularity can involve repeatedly reprogramming, repairing and updating the same matter rather than only recovering it after use.</t>
  </si>
  <si>
    <t>How can digital information be repeatedly pushed into state-changing materials while coordinating stimuli, preserving useful properties and avoiding unwanted effects from previous interactions?</t>
  </si>
  <si>
    <t>/Users/dilanozkan/Documents/VS Studio/2026_DRS Making Sustainability /conceptual evolution tree/content_001_Mineral Accretion</t>
  </si>
  <si>
    <t>/Users/dilanozkan/Documents/VS Studio/2026_DRS Making Sustainability /conceptual evolution tree/content_002_Mineral Accretion_Variable Properties</t>
  </si>
  <si>
    <t>/Users/dilanozkan/Documents/VS Studio/2026_DRS Making Sustainability /conceptual evolution tree/content_003_Mineral Accretion_Data Informed Variable Properties</t>
  </si>
  <si>
    <t>/Users/dilanozkan/Documents/VS Studio/2026_DRS Making Sustainability /conceptual evolution tree/content_004_Mineral Accretion_Feedback</t>
  </si>
  <si>
    <t>/Users/dilanozkan/Documents/VS Studio/2026_DRS Making Sustainability /conceptual evolution tree/content_005_2D Paint Patterns</t>
  </si>
  <si>
    <t>/Users/dilanozkan/Documents/VS Studio/2026_DRS Making Sustainability /conceptual evolution tree/content_006_Constrasting_Scaffolds</t>
  </si>
  <si>
    <t>/Users/dilanozkan/Documents/VS Studio/2026_DRS Making Sustainability /conceptual evolution tree/content_007_3D_Paint_Patterns</t>
  </si>
  <si>
    <t>/Users/dilanozkan/Documents/VS Studio/2026_DRS Making Sustainability /conceptual evolution tree/content_008_Magnetised_Wax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</si>
</sst>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8"/>
      <name val="Aptos Narrow"/>
      <family val="2"/>
      <scheme val="minor"/>
    </font>
    <font>
      <sz val="12"/>
      <color theme="1"/>
      <name val="Aptos"/>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10">
    <xf numFmtId="0" fontId="0" fillId="0" borderId="0" xfId="0"/>
    <xf numFmtId="0" fontId="18" fillId="0" borderId="0" xfId="0" applyFont="1" applyAlignment="1">
      <alignment horizontal="left" vertical="top" wrapText="1"/>
    </xf>
    <xf numFmtId="0" fontId="0" fillId="0" borderId="0" xfId="0" quotePrefix="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20" fillId="0" borderId="0" xfId="0" applyFont="1" applyAlignment="1">
      <alignment horizontal="left" vertical="top" wrapText="1"/>
    </xf>
    <xf numFmtId="0" fontId="0" fillId="0" borderId="0" xfId="0" applyAlignment="1">
      <alignment wrapText="1"/>
    </xf>
    <xf numFmtId="0" fontId="18" fillId="0" borderId="0" xfId="0" applyFont="1" applyAlignment="1">
      <alignment horizontal="left" vertical="top"/>
    </xf>
    <xf numFmtId="0" fontId="0" fillId="0" borderId="0" xfId="0" applyAlignment="1"/>
    <xf numFmtId="0" fontId="21" fillId="0" borderId="0" xfId="42"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earch.proquest.com/openview/45e84b53f30acdd09afcf76871d5eced/1?pq-origsite=gscholar&amp;cbl=18750&amp;diss=y" TargetMode="External"/><Relationship Id="rId3" Type="http://schemas.openxmlformats.org/officeDocument/2006/relationships/hyperlink" Target="https://purehost.bath.ac.uk/ws/portalfiles/portal/211080308/IASDR19_ParametrcMatter_1_.pdf?utm_source=chatgpt.com" TargetMode="External"/><Relationship Id="rId7" Type="http://schemas.openxmlformats.org/officeDocument/2006/relationships/hyperlink" Target="https://eprints.lancs.ac.uk/id/eprint/163248/" TargetMode="External"/><Relationship Id="rId2" Type="http://schemas.openxmlformats.org/officeDocument/2006/relationships/hyperlink" Target="https://purehost.bath.ac.uk/ws/portalfiles/portal/211080308/IASDR19_ParametrcMatter_1_.pdf?utm_source=chatgpt.com" TargetMode="External"/><Relationship Id="rId1" Type="http://schemas.openxmlformats.org/officeDocument/2006/relationships/hyperlink" Target="https://www.researchgate.net/publication/340398063_Adaptive_Materials_Utilising_additive_manufactured_scaffolds_to_control_self-organising_material_aggregation" TargetMode="External"/><Relationship Id="rId6" Type="http://schemas.openxmlformats.org/officeDocument/2006/relationships/hyperlink" Target="https://eprints.lancs.ac.uk/id/eprint/160690/1/ecaade2021_012.pdf" TargetMode="External"/><Relationship Id="rId5" Type="http://schemas.openxmlformats.org/officeDocument/2006/relationships/hyperlink" Target="https://purehost.bath.ac.uk/ws/portalfiles/portal/211080308/IASDR19_ParametrcMatter_1_.pdf?utm_source=chatgpt.com" TargetMode="External"/><Relationship Id="rId4" Type="http://schemas.openxmlformats.org/officeDocument/2006/relationships/hyperlink" Target="https://eprints.lancs.ac.uk/id/eprint/160690/1/ecaade2021_01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A6F45-013E-9F44-9B22-75322C5DCE64}">
  <dimension ref="A1:AE27"/>
  <sheetViews>
    <sheetView tabSelected="1" topLeftCell="J9" workbookViewId="0">
      <selection activeCell="Q11" sqref="Q11:Q12"/>
    </sheetView>
  </sheetViews>
  <sheetFormatPr baseColWidth="10" defaultRowHeight="16" x14ac:dyDescent="0.2"/>
  <cols>
    <col min="2" max="2" width="20" bestFit="1" customWidth="1"/>
    <col min="3" max="3" width="24.5" bestFit="1" customWidth="1"/>
    <col min="4" max="4" width="13.5" customWidth="1"/>
    <col min="5" max="5" width="20.33203125" customWidth="1"/>
    <col min="6" max="6" width="19.33203125" bestFit="1" customWidth="1"/>
    <col min="10" max="10" width="16.83203125" customWidth="1"/>
    <col min="11" max="12" width="12.33203125" customWidth="1"/>
    <col min="17" max="17" width="10.83203125" style="8"/>
    <col min="23" max="23" width="27.83203125" customWidth="1"/>
    <col min="24" max="24" width="31.83203125" customWidth="1"/>
    <col min="25" max="25" width="21.1640625" customWidth="1"/>
    <col min="26" max="26" width="21.83203125" customWidth="1"/>
    <col min="28" max="28" width="36.6640625" customWidth="1"/>
    <col min="29" max="29" width="17.83203125" customWidth="1"/>
    <col min="30" max="30" width="21.1640625" customWidth="1"/>
    <col min="31" max="31" width="23.1640625" customWidth="1"/>
  </cols>
  <sheetData>
    <row r="1" spans="1:31" s="1" customFormat="1" ht="51" x14ac:dyDescent="0.2">
      <c r="A1" s="1" t="s">
        <v>0</v>
      </c>
      <c r="B1" s="1" t="s">
        <v>1</v>
      </c>
      <c r="C1" s="1" t="s">
        <v>2</v>
      </c>
      <c r="D1" s="1" t="s">
        <v>3</v>
      </c>
      <c r="E1" s="1" t="s">
        <v>4</v>
      </c>
      <c r="F1" s="1" t="s">
        <v>5</v>
      </c>
      <c r="G1" s="1" t="s">
        <v>6</v>
      </c>
      <c r="H1" s="1" t="s">
        <v>7</v>
      </c>
      <c r="I1" s="1" t="s">
        <v>8</v>
      </c>
      <c r="J1" s="1" t="s">
        <v>156</v>
      </c>
      <c r="K1" s="1" t="s">
        <v>95</v>
      </c>
      <c r="L1" s="1" t="s">
        <v>108</v>
      </c>
      <c r="M1" s="1" t="s">
        <v>9</v>
      </c>
      <c r="N1" s="1" t="s">
        <v>10</v>
      </c>
      <c r="O1" s="1" t="s">
        <v>11</v>
      </c>
      <c r="P1" s="1" t="s">
        <v>12</v>
      </c>
      <c r="Q1" s="7" t="s">
        <v>13</v>
      </c>
      <c r="R1" s="1" t="s">
        <v>14</v>
      </c>
      <c r="S1" s="1" t="s">
        <v>15</v>
      </c>
      <c r="T1" s="1" t="s">
        <v>206</v>
      </c>
      <c r="U1" s="1" t="s">
        <v>204</v>
      </c>
      <c r="V1" s="1" t="s">
        <v>197</v>
      </c>
      <c r="W1" s="1" t="s">
        <v>16</v>
      </c>
      <c r="X1" s="1" t="s">
        <v>17</v>
      </c>
      <c r="Y1" s="1" t="s">
        <v>18</v>
      </c>
      <c r="Z1" s="1" t="s">
        <v>19</v>
      </c>
      <c r="AA1" s="1" t="s">
        <v>20</v>
      </c>
      <c r="AB1" s="1" t="s">
        <v>21</v>
      </c>
      <c r="AC1" s="1" t="s">
        <v>99</v>
      </c>
      <c r="AD1" s="1" t="s">
        <v>92</v>
      </c>
      <c r="AE1" s="1" t="s">
        <v>93</v>
      </c>
    </row>
    <row r="2" spans="1:31" s="1" customFormat="1" ht="85" x14ac:dyDescent="0.2">
      <c r="A2" s="2" t="s">
        <v>159</v>
      </c>
      <c r="B2" s="1" t="s">
        <v>158</v>
      </c>
      <c r="C2" s="3" t="str">
        <f>IF(OR(A2="",B2=""),"",TEXT(A2,"000")&amp;" - "&amp;B2)</f>
        <v>000 - Linear Manufacturing</v>
      </c>
      <c r="D2" s="1" t="s">
        <v>160</v>
      </c>
      <c r="G2" s="1" t="s">
        <v>24</v>
      </c>
      <c r="H2" s="1" t="s">
        <v>25</v>
      </c>
      <c r="I2" s="1" t="s">
        <v>26</v>
      </c>
      <c r="J2" s="1" t="s">
        <v>27</v>
      </c>
      <c r="K2" s="1" t="s">
        <v>96</v>
      </c>
      <c r="L2" s="1" t="s">
        <v>96</v>
      </c>
      <c r="M2" s="1" t="s">
        <v>161</v>
      </c>
      <c r="N2" s="1" t="s">
        <v>161</v>
      </c>
      <c r="O2" s="1" t="s">
        <v>163</v>
      </c>
      <c r="P2" s="1" t="s">
        <v>162</v>
      </c>
      <c r="Q2" s="7"/>
      <c r="W2" s="1" t="s">
        <v>164</v>
      </c>
      <c r="X2" s="1" t="s">
        <v>165</v>
      </c>
      <c r="Y2" s="1" t="s">
        <v>166</v>
      </c>
    </row>
    <row r="3" spans="1:31" s="3" customFormat="1" ht="72" customHeight="1" x14ac:dyDescent="0.2">
      <c r="A3" s="2" t="s">
        <v>22</v>
      </c>
      <c r="B3" s="3" t="s">
        <v>23</v>
      </c>
      <c r="C3" s="3" t="str">
        <f>IF(OR(A3="",B3=""),"",TEXT(A3,"000")&amp;" - "&amp;B3)</f>
        <v>001 - Mineral Accretion</v>
      </c>
      <c r="D3" s="3" t="s">
        <v>101</v>
      </c>
      <c r="G3" s="1" t="s">
        <v>24</v>
      </c>
      <c r="H3" s="3" t="s">
        <v>25</v>
      </c>
      <c r="I3" s="3" t="s">
        <v>26</v>
      </c>
      <c r="J3" s="3" t="s">
        <v>27</v>
      </c>
      <c r="K3" s="3" t="s">
        <v>96</v>
      </c>
      <c r="M3" s="3" t="s">
        <v>28</v>
      </c>
      <c r="N3" s="3" t="s">
        <v>29</v>
      </c>
      <c r="O3" s="3" t="s">
        <v>30</v>
      </c>
      <c r="P3" s="3" t="s">
        <v>31</v>
      </c>
      <c r="Q3" s="3" t="s">
        <v>233</v>
      </c>
      <c r="T3" s="3" t="s">
        <v>205</v>
      </c>
      <c r="U3" s="3">
        <v>2015</v>
      </c>
      <c r="V3" s="9" t="s">
        <v>207</v>
      </c>
      <c r="W3" s="3" t="s">
        <v>32</v>
      </c>
      <c r="X3" s="3" t="s">
        <v>33</v>
      </c>
      <c r="Y3" s="3" t="s">
        <v>34</v>
      </c>
      <c r="Z3" s="3" t="s">
        <v>35</v>
      </c>
      <c r="AB3" s="3" t="s">
        <v>36</v>
      </c>
    </row>
    <row r="4" spans="1:31" s="3" customFormat="1" ht="72" customHeight="1" x14ac:dyDescent="0.2">
      <c r="A4" s="2" t="s">
        <v>37</v>
      </c>
      <c r="B4" s="3" t="s">
        <v>38</v>
      </c>
      <c r="C4" s="3" t="str">
        <f t="shared" ref="C4:C11" si="0">IF(OR(A4="",B4=""),"",TEXT(A4,"000")&amp;" - "&amp;B4)</f>
        <v>002 - Mineral Accretion: Variable Properties</v>
      </c>
      <c r="D4" s="3" t="s">
        <v>101</v>
      </c>
      <c r="E4" s="3" t="s">
        <v>23</v>
      </c>
      <c r="F4" s="3" t="s">
        <v>34</v>
      </c>
      <c r="G4" s="3" t="s">
        <v>24</v>
      </c>
      <c r="H4" s="3" t="s">
        <v>25</v>
      </c>
      <c r="I4" s="3" t="s">
        <v>26</v>
      </c>
      <c r="J4" s="3" t="s">
        <v>27</v>
      </c>
      <c r="K4" s="3" t="s">
        <v>96</v>
      </c>
      <c r="M4" s="3" t="s">
        <v>28</v>
      </c>
      <c r="N4" s="3" t="s">
        <v>29</v>
      </c>
      <c r="O4" s="3" t="s">
        <v>30</v>
      </c>
      <c r="P4" s="3" t="s">
        <v>31</v>
      </c>
      <c r="Q4" s="3" t="s">
        <v>234</v>
      </c>
      <c r="T4" s="3" t="s">
        <v>208</v>
      </c>
      <c r="U4" s="3">
        <v>2017</v>
      </c>
      <c r="V4" s="3" t="s">
        <v>209</v>
      </c>
      <c r="W4" s="3" t="s">
        <v>219</v>
      </c>
      <c r="X4" s="3" t="s">
        <v>220</v>
      </c>
      <c r="Y4" s="3" t="s">
        <v>39</v>
      </c>
      <c r="AB4" s="3" t="s">
        <v>40</v>
      </c>
    </row>
    <row r="5" spans="1:31" s="3" customFormat="1" ht="72" customHeight="1" x14ac:dyDescent="0.2">
      <c r="A5" s="2" t="s">
        <v>41</v>
      </c>
      <c r="B5" s="3" t="s">
        <v>42</v>
      </c>
      <c r="C5" s="3" t="str">
        <f t="shared" si="0"/>
        <v>003 - Mineral Accretion: Data Informed Variable Properties</v>
      </c>
      <c r="D5" s="3" t="s">
        <v>101</v>
      </c>
      <c r="E5" s="3" t="s">
        <v>38</v>
      </c>
      <c r="F5" s="3" t="s">
        <v>43</v>
      </c>
      <c r="G5" s="3" t="s">
        <v>24</v>
      </c>
      <c r="H5" s="3" t="s">
        <v>44</v>
      </c>
      <c r="I5" s="3" t="s">
        <v>26</v>
      </c>
      <c r="J5" s="3" t="s">
        <v>27</v>
      </c>
      <c r="K5" s="3" t="s">
        <v>96</v>
      </c>
      <c r="M5" s="3" t="s">
        <v>28</v>
      </c>
      <c r="N5" s="3" t="s">
        <v>29</v>
      </c>
      <c r="O5" s="3" t="s">
        <v>113</v>
      </c>
      <c r="P5" s="3" t="s">
        <v>31</v>
      </c>
      <c r="Q5" s="3" t="s">
        <v>235</v>
      </c>
      <c r="T5" s="3" t="s">
        <v>210</v>
      </c>
      <c r="U5" s="3">
        <v>2019</v>
      </c>
      <c r="V5" s="9" t="s">
        <v>211</v>
      </c>
      <c r="W5" s="3" t="s">
        <v>221</v>
      </c>
      <c r="X5" s="3" t="s">
        <v>222</v>
      </c>
      <c r="Y5" s="3" t="s">
        <v>45</v>
      </c>
      <c r="AB5" s="3" t="s">
        <v>40</v>
      </c>
    </row>
    <row r="6" spans="1:31" s="3" customFormat="1" ht="72" customHeight="1" x14ac:dyDescent="0.2">
      <c r="A6" s="2" t="s">
        <v>46</v>
      </c>
      <c r="B6" s="3" t="s">
        <v>47</v>
      </c>
      <c r="C6" s="3" t="str">
        <f t="shared" si="0"/>
        <v>004 - Mineral Accretion: Feedback</v>
      </c>
      <c r="D6" s="3" t="s">
        <v>101</v>
      </c>
      <c r="E6" s="3" t="s">
        <v>42</v>
      </c>
      <c r="F6" s="3" t="s">
        <v>48</v>
      </c>
      <c r="G6" s="3" t="s">
        <v>24</v>
      </c>
      <c r="H6" s="3" t="s">
        <v>49</v>
      </c>
      <c r="I6" s="3" t="s">
        <v>26</v>
      </c>
      <c r="J6" s="3" t="s">
        <v>27</v>
      </c>
      <c r="K6" s="3" t="s">
        <v>97</v>
      </c>
      <c r="L6" s="3" t="s">
        <v>110</v>
      </c>
      <c r="M6" s="3" t="s">
        <v>50</v>
      </c>
      <c r="N6" s="3" t="s">
        <v>51</v>
      </c>
      <c r="O6" s="3" t="s">
        <v>52</v>
      </c>
      <c r="P6" s="3" t="s">
        <v>31</v>
      </c>
      <c r="Q6" s="3" t="s">
        <v>236</v>
      </c>
      <c r="R6" s="3" t="s">
        <v>145</v>
      </c>
      <c r="T6" s="3" t="s">
        <v>212</v>
      </c>
      <c r="U6" s="3">
        <v>2021</v>
      </c>
      <c r="V6" s="9" t="s">
        <v>213</v>
      </c>
      <c r="W6" s="3" t="s">
        <v>223</v>
      </c>
      <c r="X6" s="3" t="s">
        <v>224</v>
      </c>
      <c r="Y6" s="3" t="s">
        <v>53</v>
      </c>
      <c r="AB6" s="3" t="s">
        <v>40</v>
      </c>
    </row>
    <row r="7" spans="1:31" s="3" customFormat="1" ht="72" customHeight="1" x14ac:dyDescent="0.2">
      <c r="A7" s="2" t="s">
        <v>54</v>
      </c>
      <c r="B7" s="3" t="s">
        <v>55</v>
      </c>
      <c r="C7" s="3" t="str">
        <f t="shared" si="0"/>
        <v>005 - 2D Paint Patterns</v>
      </c>
      <c r="D7" s="3" t="s">
        <v>101</v>
      </c>
      <c r="F7" s="3" t="s">
        <v>39</v>
      </c>
      <c r="G7" s="3" t="s">
        <v>56</v>
      </c>
      <c r="H7" s="3" t="s">
        <v>44</v>
      </c>
      <c r="I7" s="3" t="s">
        <v>26</v>
      </c>
      <c r="J7" s="3" t="s">
        <v>27</v>
      </c>
      <c r="K7" s="3" t="s">
        <v>96</v>
      </c>
      <c r="M7" s="3" t="s">
        <v>28</v>
      </c>
      <c r="N7" s="3" t="s">
        <v>29</v>
      </c>
      <c r="O7" s="3" t="s">
        <v>57</v>
      </c>
      <c r="P7" s="3" t="s">
        <v>31</v>
      </c>
      <c r="Q7" s="3" t="s">
        <v>237</v>
      </c>
      <c r="R7" s="3" t="s">
        <v>147</v>
      </c>
      <c r="T7" s="3" t="s">
        <v>210</v>
      </c>
      <c r="U7" s="3">
        <v>2019</v>
      </c>
      <c r="V7" s="9" t="s">
        <v>211</v>
      </c>
      <c r="W7" s="3" t="s">
        <v>225</v>
      </c>
      <c r="X7" s="3" t="s">
        <v>226</v>
      </c>
      <c r="Y7" s="3" t="s">
        <v>39</v>
      </c>
      <c r="AB7" s="3" t="s">
        <v>36</v>
      </c>
    </row>
    <row r="8" spans="1:31" s="3" customFormat="1" ht="72" customHeight="1" x14ac:dyDescent="0.2">
      <c r="A8" s="2" t="s">
        <v>58</v>
      </c>
      <c r="B8" s="3" t="s">
        <v>196</v>
      </c>
      <c r="C8" s="3" t="str">
        <f>IF(OR(A8="",B8=""),"",TEXT(A8,"000")&amp;" - "&amp;B8)</f>
        <v>006 - Constrasting Scaffolds</v>
      </c>
      <c r="D8" s="3" t="s">
        <v>101</v>
      </c>
      <c r="E8" s="3" t="s">
        <v>55</v>
      </c>
      <c r="F8" s="3" t="s">
        <v>39</v>
      </c>
      <c r="G8" s="3" t="s">
        <v>56</v>
      </c>
      <c r="H8" s="3" t="s">
        <v>44</v>
      </c>
      <c r="I8" s="3" t="s">
        <v>26</v>
      </c>
      <c r="J8" s="3" t="s">
        <v>27</v>
      </c>
      <c r="K8" s="3" t="s">
        <v>96</v>
      </c>
      <c r="M8" s="3" t="s">
        <v>28</v>
      </c>
      <c r="N8" s="3" t="s">
        <v>91</v>
      </c>
      <c r="O8" s="3" t="s">
        <v>66</v>
      </c>
      <c r="P8" s="3" t="s">
        <v>31</v>
      </c>
      <c r="Q8" s="3" t="s">
        <v>238</v>
      </c>
      <c r="R8" s="3" t="s">
        <v>155</v>
      </c>
      <c r="T8" s="3" t="s">
        <v>210</v>
      </c>
      <c r="U8" s="3">
        <v>2019</v>
      </c>
      <c r="V8" s="9" t="s">
        <v>211</v>
      </c>
      <c r="W8" s="3" t="s">
        <v>227</v>
      </c>
      <c r="X8" s="3" t="s">
        <v>228</v>
      </c>
    </row>
    <row r="9" spans="1:31" s="3" customFormat="1" ht="72" customHeight="1" x14ac:dyDescent="0.2">
      <c r="A9" s="2" t="s">
        <v>148</v>
      </c>
      <c r="B9" s="3" t="s">
        <v>59</v>
      </c>
      <c r="C9" s="3" t="str">
        <f t="shared" si="0"/>
        <v>007 - 3D Paint Patterns</v>
      </c>
      <c r="D9" s="3" t="s">
        <v>101</v>
      </c>
      <c r="E9" s="3" t="s">
        <v>141</v>
      </c>
      <c r="F9" s="3" t="s">
        <v>60</v>
      </c>
      <c r="G9" s="3" t="s">
        <v>56</v>
      </c>
      <c r="H9" s="3" t="s">
        <v>44</v>
      </c>
      <c r="I9" s="3" t="s">
        <v>26</v>
      </c>
      <c r="J9" s="3" t="s">
        <v>27</v>
      </c>
      <c r="K9" s="3" t="s">
        <v>96</v>
      </c>
      <c r="M9" s="3" t="s">
        <v>28</v>
      </c>
      <c r="N9" s="3" t="s">
        <v>29</v>
      </c>
      <c r="O9" s="3" t="s">
        <v>57</v>
      </c>
      <c r="P9" s="3" t="s">
        <v>31</v>
      </c>
      <c r="Q9" s="3" t="s">
        <v>239</v>
      </c>
      <c r="R9" s="3" t="s">
        <v>146</v>
      </c>
      <c r="T9" s="3" t="s">
        <v>212</v>
      </c>
      <c r="U9" s="3">
        <v>2021</v>
      </c>
      <c r="V9" s="9" t="s">
        <v>213</v>
      </c>
      <c r="W9" s="3" t="s">
        <v>229</v>
      </c>
      <c r="X9" s="3" t="s">
        <v>230</v>
      </c>
      <c r="Y9" s="3" t="s">
        <v>61</v>
      </c>
      <c r="AB9" s="3" t="s">
        <v>40</v>
      </c>
    </row>
    <row r="10" spans="1:31" s="3" customFormat="1" ht="72" customHeight="1" x14ac:dyDescent="0.2">
      <c r="A10" s="2" t="s">
        <v>149</v>
      </c>
      <c r="B10" s="3" t="s">
        <v>63</v>
      </c>
      <c r="C10" s="3" t="str">
        <f t="shared" si="0"/>
        <v>008 - Magnetised Wax</v>
      </c>
      <c r="D10" s="3" t="s">
        <v>101</v>
      </c>
      <c r="F10" s="3" t="s">
        <v>64</v>
      </c>
      <c r="G10" s="3" t="s">
        <v>65</v>
      </c>
      <c r="H10" s="3" t="s">
        <v>44</v>
      </c>
      <c r="I10" s="3" t="s">
        <v>26</v>
      </c>
      <c r="J10" s="3" t="s">
        <v>27</v>
      </c>
      <c r="K10" s="3" t="s">
        <v>96</v>
      </c>
      <c r="M10" s="3" t="s">
        <v>28</v>
      </c>
      <c r="N10" s="3" t="s">
        <v>29</v>
      </c>
      <c r="O10" s="3" t="s">
        <v>66</v>
      </c>
      <c r="P10" s="3" t="s">
        <v>31</v>
      </c>
      <c r="Q10" s="3" t="s">
        <v>240</v>
      </c>
      <c r="R10" s="3" t="s">
        <v>142</v>
      </c>
      <c r="T10" s="3" t="s">
        <v>214</v>
      </c>
      <c r="U10" s="3">
        <v>2022</v>
      </c>
      <c r="V10" s="9" t="s">
        <v>215</v>
      </c>
      <c r="W10" s="3" t="s">
        <v>231</v>
      </c>
      <c r="X10" s="3" t="s">
        <v>232</v>
      </c>
      <c r="Y10" s="3" t="s">
        <v>67</v>
      </c>
      <c r="AB10" s="3" t="s">
        <v>36</v>
      </c>
    </row>
    <row r="11" spans="1:31" s="3" customFormat="1" ht="94" customHeight="1" x14ac:dyDescent="0.2">
      <c r="A11" s="2" t="s">
        <v>62</v>
      </c>
      <c r="B11" s="3" t="s">
        <v>69</v>
      </c>
      <c r="C11" s="3" t="str">
        <f t="shared" si="0"/>
        <v>009 - Magnetised Thermoplastics: Material Samples</v>
      </c>
      <c r="D11" s="3" t="s">
        <v>101</v>
      </c>
      <c r="E11" s="3" t="s">
        <v>63</v>
      </c>
      <c r="F11" s="3" t="s">
        <v>70</v>
      </c>
      <c r="G11" s="3" t="s">
        <v>65</v>
      </c>
      <c r="H11" s="3" t="s">
        <v>44</v>
      </c>
      <c r="I11" s="3" t="s">
        <v>26</v>
      </c>
      <c r="J11" s="3" t="s">
        <v>27</v>
      </c>
      <c r="K11" s="3" t="s">
        <v>96</v>
      </c>
      <c r="M11" s="3" t="s">
        <v>50</v>
      </c>
      <c r="N11" s="3" t="s">
        <v>29</v>
      </c>
      <c r="O11" s="3" t="s">
        <v>66</v>
      </c>
      <c r="P11" s="3" t="s">
        <v>31</v>
      </c>
      <c r="Q11" s="3" t="s">
        <v>201</v>
      </c>
      <c r="R11" s="3" t="s">
        <v>144</v>
      </c>
      <c r="T11" s="3" t="s">
        <v>218</v>
      </c>
      <c r="U11" s="3">
        <v>2022</v>
      </c>
      <c r="W11" s="3" t="s">
        <v>182</v>
      </c>
      <c r="X11" s="5" t="s">
        <v>183</v>
      </c>
      <c r="Y11" s="3" t="s">
        <v>45</v>
      </c>
      <c r="AB11" s="3" t="s">
        <v>40</v>
      </c>
    </row>
    <row r="12" spans="1:31" s="3" customFormat="1" ht="72" customHeight="1" x14ac:dyDescent="0.2">
      <c r="A12" s="2" t="s">
        <v>68</v>
      </c>
      <c r="B12" s="3" t="s">
        <v>157</v>
      </c>
      <c r="C12" s="3" t="str">
        <f>IF(OR(A12="",B12=""),"",TEXT(A12,"000")&amp;" - "&amp;B12)</f>
        <v>010 - Magnetised Thermoplastics: Sensor Interactions</v>
      </c>
      <c r="D12" s="3" t="s">
        <v>101</v>
      </c>
      <c r="E12" s="3" t="s">
        <v>69</v>
      </c>
      <c r="F12" s="3" t="s">
        <v>43</v>
      </c>
      <c r="G12" s="3" t="s">
        <v>65</v>
      </c>
      <c r="H12" s="3" t="s">
        <v>44</v>
      </c>
      <c r="I12" s="3" t="s">
        <v>26</v>
      </c>
      <c r="J12" s="3" t="s">
        <v>73</v>
      </c>
      <c r="K12" s="3" t="s">
        <v>97</v>
      </c>
      <c r="L12" s="3" t="s">
        <v>27</v>
      </c>
      <c r="M12" s="3" t="s">
        <v>50</v>
      </c>
      <c r="N12" s="3" t="s">
        <v>29</v>
      </c>
      <c r="O12" s="3" t="s">
        <v>74</v>
      </c>
      <c r="P12" s="3" t="s">
        <v>31</v>
      </c>
      <c r="Q12" s="3" t="s">
        <v>202</v>
      </c>
      <c r="R12" s="3" t="s">
        <v>143</v>
      </c>
      <c r="W12" s="3" t="s">
        <v>180</v>
      </c>
      <c r="X12" s="3" t="s">
        <v>184</v>
      </c>
      <c r="Y12" s="3" t="s">
        <v>75</v>
      </c>
      <c r="AB12" s="3" t="s">
        <v>76</v>
      </c>
    </row>
    <row r="13" spans="1:31" s="3" customFormat="1" ht="72" customHeight="1" x14ac:dyDescent="0.2">
      <c r="A13" s="2" t="s">
        <v>71</v>
      </c>
      <c r="B13" s="3" t="s">
        <v>72</v>
      </c>
      <c r="C13" s="3" t="str">
        <f>IF(OR(A13="",B13=""),"",TEXT(A13,"000")&amp;" - "&amp;B13)</f>
        <v>011 - Magnetised Thermoplastics: Speculative Prosthetics</v>
      </c>
      <c r="D13" s="3" t="s">
        <v>101</v>
      </c>
      <c r="E13" s="3" t="s">
        <v>69</v>
      </c>
      <c r="F13" s="3" t="s">
        <v>60</v>
      </c>
      <c r="G13" s="3" t="s">
        <v>65</v>
      </c>
      <c r="H13" s="3" t="s">
        <v>44</v>
      </c>
      <c r="I13" s="3" t="s">
        <v>26</v>
      </c>
      <c r="J13" s="3" t="s">
        <v>73</v>
      </c>
      <c r="K13" s="3" t="s">
        <v>97</v>
      </c>
      <c r="L13" s="3" t="s">
        <v>27</v>
      </c>
      <c r="M13" s="3" t="s">
        <v>50</v>
      </c>
      <c r="N13" s="3" t="s">
        <v>29</v>
      </c>
      <c r="O13" s="3" t="s">
        <v>74</v>
      </c>
      <c r="P13" s="3" t="s">
        <v>31</v>
      </c>
      <c r="Q13" s="3" t="s">
        <v>203</v>
      </c>
      <c r="W13" s="3" t="s">
        <v>181</v>
      </c>
      <c r="X13" s="3" t="s">
        <v>185</v>
      </c>
      <c r="Y13" s="3" t="s">
        <v>75</v>
      </c>
      <c r="AB13" s="3" t="s">
        <v>76</v>
      </c>
    </row>
    <row r="14" spans="1:31" ht="187" x14ac:dyDescent="0.2">
      <c r="A14" s="2" t="s">
        <v>77</v>
      </c>
      <c r="B14" s="3" t="s">
        <v>78</v>
      </c>
      <c r="C14" s="3" t="str">
        <f t="shared" ref="C14:C15" si="1">IF(OR(A14="",B14=""),"",TEXT(A14,"000")&amp;" - "&amp;B14)</f>
        <v>012 - Windows of Influence</v>
      </c>
      <c r="D14" s="3" t="s">
        <v>100</v>
      </c>
      <c r="E14" s="3" t="s">
        <v>72</v>
      </c>
      <c r="F14" s="3" t="s">
        <v>79</v>
      </c>
      <c r="G14" s="3" t="s">
        <v>80</v>
      </c>
      <c r="H14" s="3" t="s">
        <v>49</v>
      </c>
      <c r="I14" s="3" t="s">
        <v>81</v>
      </c>
      <c r="J14" s="3" t="s">
        <v>82</v>
      </c>
      <c r="K14" s="3" t="s">
        <v>98</v>
      </c>
      <c r="L14" s="3" t="s">
        <v>27</v>
      </c>
      <c r="M14" s="3" t="s">
        <v>83</v>
      </c>
      <c r="N14" s="3" t="s">
        <v>84</v>
      </c>
      <c r="O14" s="3" t="s">
        <v>85</v>
      </c>
      <c r="P14" s="3" t="s">
        <v>86</v>
      </c>
      <c r="Q14" s="4"/>
      <c r="R14" s="3"/>
      <c r="S14" s="3"/>
      <c r="T14" s="3"/>
      <c r="U14" s="3"/>
      <c r="V14" s="3"/>
      <c r="W14" s="3" t="s">
        <v>187</v>
      </c>
      <c r="X14" s="3" t="s">
        <v>186</v>
      </c>
      <c r="Y14" s="3" t="s">
        <v>61</v>
      </c>
      <c r="Z14" s="3"/>
      <c r="AA14" s="3"/>
      <c r="AB14" s="3" t="s">
        <v>87</v>
      </c>
      <c r="AC14" s="3"/>
      <c r="AD14" s="3"/>
      <c r="AE14" s="3"/>
    </row>
    <row r="15" spans="1:31" ht="119" x14ac:dyDescent="0.2">
      <c r="A15" s="2" t="s">
        <v>88</v>
      </c>
      <c r="B15" s="3" t="s">
        <v>179</v>
      </c>
      <c r="C15" s="3" t="str">
        <f t="shared" si="1"/>
        <v>013 - Phased Scaffolding</v>
      </c>
      <c r="D15" s="3" t="s">
        <v>100</v>
      </c>
      <c r="E15" s="3" t="s">
        <v>72</v>
      </c>
      <c r="F15" s="3" t="s">
        <v>53</v>
      </c>
      <c r="G15" s="3" t="s">
        <v>80</v>
      </c>
      <c r="H15" s="3" t="s">
        <v>176</v>
      </c>
      <c r="I15" s="3" t="s">
        <v>81</v>
      </c>
      <c r="J15" s="3" t="s">
        <v>82</v>
      </c>
      <c r="K15" s="3" t="s">
        <v>98</v>
      </c>
      <c r="L15" s="3" t="s">
        <v>27</v>
      </c>
      <c r="M15" s="3" t="s">
        <v>83</v>
      </c>
      <c r="N15" s="3" t="s">
        <v>51</v>
      </c>
      <c r="O15" s="3" t="s">
        <v>85</v>
      </c>
      <c r="P15" s="3" t="s">
        <v>86</v>
      </c>
      <c r="Q15" s="4"/>
      <c r="R15" s="3"/>
      <c r="S15" s="3"/>
      <c r="T15" s="3"/>
      <c r="U15" s="3"/>
      <c r="V15" s="3"/>
      <c r="W15" s="3" t="s">
        <v>188</v>
      </c>
      <c r="X15" s="3" t="s">
        <v>189</v>
      </c>
      <c r="Y15" s="3" t="s">
        <v>45</v>
      </c>
      <c r="Z15" s="3"/>
      <c r="AA15" s="3"/>
      <c r="AB15" s="3" t="s">
        <v>36</v>
      </c>
      <c r="AC15" s="4"/>
      <c r="AD15" s="4"/>
      <c r="AE15" s="4"/>
    </row>
    <row r="16" spans="1:31" ht="238" x14ac:dyDescent="0.2">
      <c r="A16" s="2" t="s">
        <v>150</v>
      </c>
      <c r="B16" s="3" t="s">
        <v>191</v>
      </c>
      <c r="C16" s="3" t="str">
        <f t="shared" ref="C16" si="2">IF(OR(A16="",B16=""),"",TEXT(A16,"000")&amp;" - "&amp;B16)</f>
        <v>014 - Hierarchical States</v>
      </c>
      <c r="D16" s="3" t="s">
        <v>100</v>
      </c>
      <c r="E16" s="3" t="s">
        <v>72</v>
      </c>
      <c r="F16" s="3" t="s">
        <v>61</v>
      </c>
      <c r="G16" s="3" t="s">
        <v>65</v>
      </c>
      <c r="H16" s="3" t="s">
        <v>176</v>
      </c>
      <c r="I16" s="3" t="s">
        <v>112</v>
      </c>
      <c r="J16" s="3" t="s">
        <v>73</v>
      </c>
      <c r="K16" s="3" t="s">
        <v>98</v>
      </c>
      <c r="L16" s="3" t="s">
        <v>27</v>
      </c>
      <c r="M16" s="3" t="s">
        <v>83</v>
      </c>
      <c r="N16" s="3" t="s">
        <v>122</v>
      </c>
      <c r="O16" s="3" t="s">
        <v>113</v>
      </c>
      <c r="P16" s="3" t="s">
        <v>86</v>
      </c>
      <c r="Q16" s="4"/>
      <c r="R16" s="3"/>
      <c r="S16" s="3"/>
      <c r="T16" s="3"/>
      <c r="U16" s="3"/>
      <c r="V16" s="3"/>
      <c r="W16" s="3" t="s">
        <v>192</v>
      </c>
      <c r="X16" s="3" t="s">
        <v>193</v>
      </c>
      <c r="Y16" s="3" t="s">
        <v>61</v>
      </c>
      <c r="Z16" s="3"/>
      <c r="AA16" s="3"/>
      <c r="AB16" s="3"/>
      <c r="AC16" s="4"/>
      <c r="AD16" s="4"/>
      <c r="AE16" s="4"/>
    </row>
    <row r="17" spans="1:31" ht="34" x14ac:dyDescent="0.2">
      <c r="A17" s="2" t="s">
        <v>151</v>
      </c>
      <c r="B17" s="3" t="s">
        <v>89</v>
      </c>
      <c r="C17" s="3" t="str">
        <f t="shared" ref="C17:C18" si="3">IF(OR(A17="",B17=""),"",TEXT(A17,"000")&amp;" - "&amp;B17)</f>
        <v>015 - Ecological Twinning</v>
      </c>
      <c r="D17" s="3" t="s">
        <v>100</v>
      </c>
      <c r="E17" s="3"/>
      <c r="F17" s="3" t="s">
        <v>53</v>
      </c>
      <c r="G17" s="3" t="s">
        <v>80</v>
      </c>
      <c r="H17" s="3" t="s">
        <v>176</v>
      </c>
      <c r="I17" s="3" t="s">
        <v>81</v>
      </c>
      <c r="J17" s="3" t="s">
        <v>90</v>
      </c>
      <c r="K17" s="3" t="s">
        <v>98</v>
      </c>
      <c r="L17" s="3" t="s">
        <v>27</v>
      </c>
      <c r="M17" s="3" t="s">
        <v>83</v>
      </c>
      <c r="N17" s="3" t="s">
        <v>126</v>
      </c>
      <c r="O17" s="3" t="s">
        <v>85</v>
      </c>
      <c r="P17" s="3" t="s">
        <v>86</v>
      </c>
      <c r="Q17" s="4"/>
      <c r="R17" s="3"/>
      <c r="S17" s="3"/>
      <c r="T17" s="3"/>
      <c r="U17" s="3"/>
      <c r="V17" s="3"/>
      <c r="W17" s="3" t="s">
        <v>190</v>
      </c>
      <c r="X17" s="3" t="s">
        <v>190</v>
      </c>
      <c r="Y17" s="3" t="s">
        <v>45</v>
      </c>
      <c r="Z17" s="3"/>
      <c r="AA17" s="3"/>
      <c r="AB17" s="3"/>
      <c r="AC17" s="4"/>
      <c r="AD17" s="4"/>
      <c r="AE17" s="4"/>
    </row>
    <row r="18" spans="1:31" ht="255" x14ac:dyDescent="0.2">
      <c r="A18" s="2" t="s">
        <v>152</v>
      </c>
      <c r="B18" s="4" t="s">
        <v>194</v>
      </c>
      <c r="C18" s="4" t="str">
        <f t="shared" si="3"/>
        <v>016 - Tuneable Environments</v>
      </c>
      <c r="D18" s="3" t="s">
        <v>105</v>
      </c>
      <c r="E18" s="3" t="s">
        <v>195</v>
      </c>
      <c r="F18" s="3" t="s">
        <v>53</v>
      </c>
      <c r="G18" s="3" t="s">
        <v>175</v>
      </c>
      <c r="H18" s="3" t="s">
        <v>176</v>
      </c>
      <c r="I18" s="3" t="s">
        <v>81</v>
      </c>
      <c r="J18" s="3" t="s">
        <v>90</v>
      </c>
      <c r="K18" s="3" t="s">
        <v>98</v>
      </c>
      <c r="L18" s="3" t="s">
        <v>27</v>
      </c>
      <c r="M18" s="3" t="s">
        <v>83</v>
      </c>
      <c r="N18" s="3" t="s">
        <v>51</v>
      </c>
      <c r="O18" s="3" t="s">
        <v>30</v>
      </c>
      <c r="P18" s="3" t="s">
        <v>86</v>
      </c>
      <c r="Q18" s="3" t="s">
        <v>200</v>
      </c>
      <c r="R18" s="4"/>
      <c r="S18" s="4"/>
      <c r="T18" s="9" t="s">
        <v>216</v>
      </c>
      <c r="U18" s="3">
        <v>2020</v>
      </c>
      <c r="V18" s="3" t="s">
        <v>217</v>
      </c>
      <c r="W18" s="3" t="s">
        <v>198</v>
      </c>
      <c r="X18" s="3" t="s">
        <v>199</v>
      </c>
      <c r="Y18" s="3" t="s">
        <v>137</v>
      </c>
      <c r="Z18" s="4"/>
      <c r="AA18" s="4"/>
      <c r="AB18" s="4"/>
      <c r="AC18" s="4"/>
      <c r="AD18" s="4"/>
      <c r="AE18" s="4"/>
    </row>
    <row r="19" spans="1:31" ht="17" x14ac:dyDescent="0.2">
      <c r="A19" s="2" t="s">
        <v>153</v>
      </c>
      <c r="B19" s="4"/>
      <c r="C19" s="4"/>
      <c r="D19" s="4"/>
      <c r="E19" s="4"/>
      <c r="F19" s="4"/>
      <c r="G19" s="4"/>
      <c r="H19" s="4"/>
      <c r="I19" s="4"/>
      <c r="J19" s="4"/>
      <c r="K19" s="4"/>
      <c r="L19" s="4"/>
      <c r="M19" s="4"/>
      <c r="N19" s="4"/>
      <c r="O19" s="4"/>
      <c r="P19" s="4"/>
      <c r="Q19" s="4"/>
      <c r="R19" s="4"/>
      <c r="S19" s="4"/>
      <c r="T19" s="4"/>
      <c r="U19" s="4"/>
      <c r="V19" s="4"/>
      <c r="W19" s="3"/>
      <c r="X19" s="3"/>
      <c r="Y19" s="4"/>
      <c r="Z19" s="4"/>
      <c r="AA19" s="4"/>
      <c r="AB19" s="4"/>
      <c r="AC19" s="4"/>
      <c r="AD19" s="4"/>
      <c r="AE19" s="4"/>
    </row>
    <row r="20" spans="1:31" ht="17" x14ac:dyDescent="0.2">
      <c r="A20" s="2" t="s">
        <v>154</v>
      </c>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row>
    <row r="21" spans="1:31" ht="17" x14ac:dyDescent="0.2">
      <c r="A21" s="2" t="s">
        <v>167</v>
      </c>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row>
    <row r="22" spans="1:31" ht="17" x14ac:dyDescent="0.2">
      <c r="A22" s="2" t="s">
        <v>168</v>
      </c>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row>
    <row r="23" spans="1:31" ht="17" x14ac:dyDescent="0.2">
      <c r="A23" s="2" t="s">
        <v>169</v>
      </c>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row>
    <row r="24" spans="1:31" ht="17" x14ac:dyDescent="0.2">
      <c r="A24" s="2" t="s">
        <v>170</v>
      </c>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row>
    <row r="25" spans="1:31" ht="17" x14ac:dyDescent="0.2">
      <c r="A25" s="2" t="s">
        <v>171</v>
      </c>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row>
    <row r="26" spans="1:31" ht="17" x14ac:dyDescent="0.2">
      <c r="A26" s="2" t="s">
        <v>172</v>
      </c>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row>
    <row r="27" spans="1:31" ht="34" x14ac:dyDescent="0.2">
      <c r="A27" s="2" t="s">
        <v>173</v>
      </c>
      <c r="B27" s="4" t="s">
        <v>174</v>
      </c>
      <c r="C27" s="3" t="str">
        <f>IF(OR(A27="",B27=""),"",TEXT(A27,"000")&amp;" - "&amp;B27)</f>
        <v>0XX - Ecological Systems</v>
      </c>
      <c r="D27" s="4" t="s">
        <v>175</v>
      </c>
      <c r="E27" s="4"/>
      <c r="F27" s="4"/>
      <c r="G27" s="3" t="s">
        <v>175</v>
      </c>
      <c r="H27" s="3" t="s">
        <v>176</v>
      </c>
      <c r="I27" s="3" t="s">
        <v>81</v>
      </c>
      <c r="J27" s="3" t="s">
        <v>82</v>
      </c>
      <c r="K27" s="3" t="s">
        <v>98</v>
      </c>
      <c r="L27" s="3" t="s">
        <v>27</v>
      </c>
      <c r="M27" s="3" t="s">
        <v>125</v>
      </c>
      <c r="N27" s="3" t="s">
        <v>51</v>
      </c>
      <c r="O27" s="3" t="s">
        <v>85</v>
      </c>
      <c r="P27" s="3" t="s">
        <v>131</v>
      </c>
      <c r="Q27" s="4" t="s">
        <v>177</v>
      </c>
      <c r="R27" s="4"/>
      <c r="S27" s="4"/>
      <c r="T27" s="4"/>
      <c r="U27" s="4"/>
      <c r="V27" s="4"/>
      <c r="W27" s="3" t="s">
        <v>178</v>
      </c>
      <c r="X27" s="4"/>
      <c r="Y27" s="4"/>
      <c r="Z27" s="4"/>
      <c r="AA27" s="4"/>
      <c r="AB27" s="4"/>
      <c r="AC27" s="4"/>
      <c r="AD27" s="4"/>
      <c r="AE27" s="4"/>
    </row>
  </sheetData>
  <phoneticPr fontId="19" type="noConversion"/>
  <dataValidations disablePrompts="1" count="12">
    <dataValidation type="list" allowBlank="1" showInputMessage="1" showErrorMessage="1" sqref="D3:D18" xr:uid="{9DA741B8-A8C4-1C48-B95C-2F42F8D8F371}">
      <formula1>StateOptions</formula1>
    </dataValidation>
    <dataValidation type="list" allowBlank="1" showInputMessage="1" showErrorMessage="1" sqref="P3:P18 P27" xr:uid="{C4F8B3F5-FB85-9F4A-85C7-9092DE3FD221}">
      <formula1>ArtefactTypeOptions</formula1>
    </dataValidation>
    <dataValidation type="list" allowBlank="1" showInputMessage="1" showErrorMessage="1" sqref="O3:O18 O27" xr:uid="{260C0C5A-8484-0041-B418-71B9A7FAD3B1}">
      <formula1>ConceptTagOptions</formula1>
    </dataValidation>
    <dataValidation type="list" allowBlank="1" showInputMessage="1" showErrorMessage="1" sqref="H3:H18 H27" xr:uid="{CD5CEE43-F1A6-DA4C-A689-CBD69254AE62}">
      <formula1>DiscourseOptions</formula1>
    </dataValidation>
    <dataValidation type="list" allowBlank="1" showInputMessage="1" showErrorMessage="1" sqref="J3:J18 J27" xr:uid="{6AD9577C-C00D-AB48-BC0D-8DDB9E8098B4}">
      <formula1>DomainInteractionOptions</formula1>
    </dataValidation>
    <dataValidation type="list" allowBlank="1" showInputMessage="1" showErrorMessage="1" sqref="L3:L18 L27" xr:uid="{DC72D87B-2780-824A-83A3-6E30EAC33A14}">
      <formula1>InteractingScaleOptions</formula1>
    </dataValidation>
    <dataValidation type="list" allowBlank="1" showInputMessage="1" showErrorMessage="1" sqref="K3:K18 K27" xr:uid="{91177B28-7245-8E45-8041-D32CBE76B578}">
      <formula1>InterScalarOptions</formula1>
    </dataValidation>
    <dataValidation type="list" allowBlank="1" showInputMessage="1" showErrorMessage="1" sqref="Y3:Y7 Y9:Y18 F3:F18" xr:uid="{E0DAA477-E038-924A-97FD-238C82022C5B}">
      <formula1>MutationOptions</formula1>
    </dataValidation>
    <dataValidation type="list" allowBlank="1" showInputMessage="1" showErrorMessage="1" sqref="N3:N18 N27" xr:uid="{5B577A96-2E39-C144-89FC-CE0ADAC44544}">
      <formula1>RelationalTypeOptions</formula1>
    </dataValidation>
    <dataValidation type="list" allowBlank="1" showInputMessage="1" showErrorMessage="1" sqref="G27 G2:G18" xr:uid="{FFE67596-2FAB-6541-8AEF-7515AFEEA111}">
      <formula1>Scaffold_Type_Sectors_Options</formula1>
    </dataValidation>
    <dataValidation type="list" allowBlank="1" showInputMessage="1" showErrorMessage="1" sqref="I3:I18 I27" xr:uid="{3E46BE60-43A9-E141-B1E6-D26CCA7D08DA}">
      <formula1>SystemConditionOptions</formula1>
    </dataValidation>
    <dataValidation type="list" allowBlank="1" showInputMessage="1" showErrorMessage="1" sqref="M3:M18 M27" xr:uid="{82B7F886-EF20-984C-A8EA-86647CA4466C}">
      <formula1>TemporalCharacterOptions</formula1>
    </dataValidation>
  </dataValidations>
  <hyperlinks>
    <hyperlink ref="V3" r:id="rId1" xr:uid="{8F3681FE-7A94-644F-89F2-98C206B32D82}"/>
    <hyperlink ref="V5" r:id="rId2" xr:uid="{8F9D14DC-DB91-DF4C-AE4B-60144928CB39}"/>
    <hyperlink ref="V7" r:id="rId3" xr:uid="{B19C0397-B641-3841-9FC7-DFF253FBBE5C}"/>
    <hyperlink ref="V6" r:id="rId4" xr:uid="{58B878E7-B487-2C43-B20F-840F2AD89577}"/>
    <hyperlink ref="V8" r:id="rId5" xr:uid="{832D4DB9-48DF-9049-894B-C5E783631186}"/>
    <hyperlink ref="V9" r:id="rId6" xr:uid="{C7056EFC-9AAF-E649-B67A-588716D7DA93}"/>
    <hyperlink ref="V10" r:id="rId7" xr:uid="{43477648-BCB9-184C-BCA7-1E97C85C8B05}"/>
    <hyperlink ref="T18" r:id="rId8" display="https://search.proquest.com/openview/45e84b53f30acdd09afcf76871d5eced/1?pq-origsite=gscholar&amp;cbl=18750&amp;diss=y" xr:uid="{2FCD6CA5-2061-0444-8E02-67FE2C7B744E}"/>
  </hyperlinks>
  <pageMargins left="0.75" right="0.75" top="1" bottom="1" header="0.5" footer="0.5"/>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DE7C5F2-F409-FF4F-AEF5-F420646DEFC1}">
          <x14:formula1>
            <xm:f>'Classification Options'!$B$2:$B$23</xm:f>
          </x14:formula1>
          <xm:sqref>E4:E6 E8:E9 E11:E16 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3D112-F079-554C-9D3B-2487B20CA2CC}">
  <dimension ref="A1:O50"/>
  <sheetViews>
    <sheetView topLeftCell="A4" workbookViewId="0">
      <selection activeCell="B11" sqref="B11"/>
    </sheetView>
  </sheetViews>
  <sheetFormatPr baseColWidth="10" defaultRowHeight="16" x14ac:dyDescent="0.2"/>
  <cols>
    <col min="2" max="2" width="21.83203125" customWidth="1"/>
    <col min="4" max="4" width="17.1640625" customWidth="1"/>
    <col min="8" max="9" width="16.6640625" customWidth="1"/>
    <col min="10" max="10" width="15.5" customWidth="1"/>
    <col min="13" max="13" width="17" customWidth="1"/>
    <col min="15" max="15" width="18.33203125" customWidth="1"/>
  </cols>
  <sheetData>
    <row r="1" spans="1:15" ht="51" x14ac:dyDescent="0.2">
      <c r="A1" s="1" t="s">
        <v>0</v>
      </c>
      <c r="B1" s="1" t="s">
        <v>1</v>
      </c>
      <c r="C1" s="1" t="s">
        <v>3</v>
      </c>
      <c r="D1" s="1" t="s">
        <v>5</v>
      </c>
      <c r="E1" s="1" t="s">
        <v>6</v>
      </c>
      <c r="F1" s="1" t="s">
        <v>7</v>
      </c>
      <c r="G1" s="1" t="s">
        <v>8</v>
      </c>
      <c r="H1" s="1" t="s">
        <v>94</v>
      </c>
      <c r="I1" s="1" t="s">
        <v>95</v>
      </c>
      <c r="J1" s="1" t="s">
        <v>107</v>
      </c>
      <c r="K1" s="1" t="s">
        <v>9</v>
      </c>
      <c r="L1" s="1" t="s">
        <v>10</v>
      </c>
      <c r="M1" s="1" t="s">
        <v>11</v>
      </c>
      <c r="N1" s="1" t="s">
        <v>12</v>
      </c>
      <c r="O1" s="1" t="s">
        <v>18</v>
      </c>
    </row>
    <row r="2" spans="1:15" ht="34" x14ac:dyDescent="0.2">
      <c r="A2" s="3" t="str">
        <f>TEXT(ROW(A1), "000")</f>
        <v>001</v>
      </c>
      <c r="B2" s="3" t="s">
        <v>23</v>
      </c>
      <c r="C2" s="3" t="s">
        <v>100</v>
      </c>
      <c r="D2" s="3" t="s">
        <v>34</v>
      </c>
      <c r="E2" s="3" t="s">
        <v>24</v>
      </c>
      <c r="F2" s="3" t="s">
        <v>25</v>
      </c>
      <c r="G2" s="3" t="s">
        <v>109</v>
      </c>
      <c r="H2" s="3" t="s">
        <v>27</v>
      </c>
      <c r="I2" s="3" t="s">
        <v>98</v>
      </c>
      <c r="J2" s="3" t="s">
        <v>27</v>
      </c>
      <c r="K2" s="3" t="s">
        <v>109</v>
      </c>
      <c r="L2" s="3" t="s">
        <v>29</v>
      </c>
      <c r="M2" s="3" t="s">
        <v>30</v>
      </c>
      <c r="N2" s="3" t="s">
        <v>109</v>
      </c>
      <c r="O2" s="3" t="s">
        <v>34</v>
      </c>
    </row>
    <row r="3" spans="1:15" ht="34" x14ac:dyDescent="0.2">
      <c r="A3" s="3" t="str">
        <f t="shared" ref="A3:A50" si="0">TEXT(ROW(A2), "000")</f>
        <v>002</v>
      </c>
      <c r="B3" s="3" t="s">
        <v>38</v>
      </c>
      <c r="C3" s="3" t="s">
        <v>101</v>
      </c>
      <c r="D3" s="3" t="s">
        <v>43</v>
      </c>
      <c r="E3" s="3" t="s">
        <v>56</v>
      </c>
      <c r="F3" s="3" t="s">
        <v>44</v>
      </c>
      <c r="G3" s="3" t="s">
        <v>26</v>
      </c>
      <c r="H3" s="3" t="s">
        <v>110</v>
      </c>
      <c r="I3" s="3" t="s">
        <v>96</v>
      </c>
      <c r="J3" s="3" t="s">
        <v>110</v>
      </c>
      <c r="K3" s="3" t="s">
        <v>28</v>
      </c>
      <c r="L3" s="3" t="s">
        <v>51</v>
      </c>
      <c r="M3" s="3" t="s">
        <v>57</v>
      </c>
      <c r="N3" s="3" t="s">
        <v>111</v>
      </c>
      <c r="O3" s="3" t="s">
        <v>43</v>
      </c>
    </row>
    <row r="4" spans="1:15" ht="51" x14ac:dyDescent="0.2">
      <c r="A4" s="3" t="str">
        <f t="shared" si="0"/>
        <v>003</v>
      </c>
      <c r="B4" s="3" t="s">
        <v>42</v>
      </c>
      <c r="C4" s="3" t="s">
        <v>102</v>
      </c>
      <c r="D4" s="3" t="s">
        <v>70</v>
      </c>
      <c r="E4" s="3" t="s">
        <v>65</v>
      </c>
      <c r="F4" s="3" t="s">
        <v>49</v>
      </c>
      <c r="G4" s="3" t="s">
        <v>112</v>
      </c>
      <c r="H4" s="3" t="s">
        <v>73</v>
      </c>
      <c r="I4" s="3" t="s">
        <v>97</v>
      </c>
      <c r="J4" s="3" t="s">
        <v>73</v>
      </c>
      <c r="K4" s="3" t="s">
        <v>50</v>
      </c>
      <c r="L4" s="3" t="s">
        <v>84</v>
      </c>
      <c r="M4" s="3" t="s">
        <v>113</v>
      </c>
      <c r="N4" s="3" t="s">
        <v>86</v>
      </c>
      <c r="O4" s="3" t="s">
        <v>70</v>
      </c>
    </row>
    <row r="5" spans="1:15" ht="34" x14ac:dyDescent="0.2">
      <c r="A5" s="3" t="str">
        <f t="shared" si="0"/>
        <v>004</v>
      </c>
      <c r="B5" s="3" t="s">
        <v>47</v>
      </c>
      <c r="C5" s="3" t="s">
        <v>103</v>
      </c>
      <c r="D5" s="3" t="s">
        <v>114</v>
      </c>
      <c r="E5" s="3" t="s">
        <v>80</v>
      </c>
      <c r="F5" s="3" t="s">
        <v>176</v>
      </c>
      <c r="G5" s="3" t="s">
        <v>81</v>
      </c>
      <c r="H5" s="3" t="s">
        <v>82</v>
      </c>
      <c r="I5" s="3"/>
      <c r="J5" s="3" t="s">
        <v>82</v>
      </c>
      <c r="K5" s="3" t="s">
        <v>115</v>
      </c>
      <c r="L5" s="3" t="s">
        <v>116</v>
      </c>
      <c r="M5" s="3" t="s">
        <v>117</v>
      </c>
      <c r="N5" s="3" t="s">
        <v>31</v>
      </c>
      <c r="O5" s="3" t="s">
        <v>114</v>
      </c>
    </row>
    <row r="6" spans="1:15" ht="34" x14ac:dyDescent="0.2">
      <c r="A6" s="3" t="str">
        <f t="shared" si="0"/>
        <v>005</v>
      </c>
      <c r="B6" s="3" t="s">
        <v>55</v>
      </c>
      <c r="C6" s="3" t="s">
        <v>104</v>
      </c>
      <c r="D6" s="3" t="s">
        <v>39</v>
      </c>
      <c r="E6" s="3" t="s">
        <v>175</v>
      </c>
      <c r="F6" s="3"/>
      <c r="G6" s="3" t="s">
        <v>118</v>
      </c>
      <c r="H6" s="3" t="s">
        <v>90</v>
      </c>
      <c r="I6" s="3"/>
      <c r="J6" s="3" t="s">
        <v>90</v>
      </c>
      <c r="K6" s="3" t="s">
        <v>119</v>
      </c>
      <c r="L6" s="3" t="s">
        <v>91</v>
      </c>
      <c r="M6" s="3" t="s">
        <v>66</v>
      </c>
      <c r="N6" s="3" t="s">
        <v>120</v>
      </c>
      <c r="O6" s="3" t="s">
        <v>39</v>
      </c>
    </row>
    <row r="7" spans="1:15" ht="17" x14ac:dyDescent="0.2">
      <c r="A7" s="3" t="str">
        <f t="shared" si="0"/>
        <v>006</v>
      </c>
      <c r="B7" s="3" t="s">
        <v>141</v>
      </c>
      <c r="C7" s="3" t="s">
        <v>105</v>
      </c>
      <c r="D7" s="3" t="s">
        <v>75</v>
      </c>
      <c r="E7" s="3"/>
      <c r="F7" s="3"/>
      <c r="G7" s="3"/>
      <c r="H7" s="3"/>
      <c r="I7" s="3"/>
      <c r="J7" s="3"/>
      <c r="K7" s="3" t="s">
        <v>121</v>
      </c>
      <c r="L7" s="3" t="s">
        <v>122</v>
      </c>
      <c r="M7" s="3" t="s">
        <v>123</v>
      </c>
      <c r="N7" s="3" t="s">
        <v>124</v>
      </c>
      <c r="O7" s="3" t="s">
        <v>75</v>
      </c>
    </row>
    <row r="8" spans="1:15" ht="34" x14ac:dyDescent="0.2">
      <c r="A8" s="3" t="str">
        <f t="shared" si="0"/>
        <v>007</v>
      </c>
      <c r="B8" s="3" t="s">
        <v>59</v>
      </c>
      <c r="C8" s="3" t="s">
        <v>106</v>
      </c>
      <c r="D8" s="3" t="s">
        <v>60</v>
      </c>
      <c r="E8" s="3"/>
      <c r="F8" s="3"/>
      <c r="G8" s="3"/>
      <c r="H8" s="3"/>
      <c r="I8" s="3"/>
      <c r="J8" s="3"/>
      <c r="K8" s="3" t="s">
        <v>125</v>
      </c>
      <c r="L8" s="3" t="s">
        <v>126</v>
      </c>
      <c r="M8" s="3" t="s">
        <v>52</v>
      </c>
      <c r="N8" s="3" t="s">
        <v>127</v>
      </c>
      <c r="O8" s="3" t="s">
        <v>60</v>
      </c>
    </row>
    <row r="9" spans="1:15" ht="34" x14ac:dyDescent="0.2">
      <c r="A9" s="3" t="str">
        <f t="shared" si="0"/>
        <v>008</v>
      </c>
      <c r="B9" s="3" t="s">
        <v>63</v>
      </c>
      <c r="C9" s="3"/>
      <c r="D9" s="3" t="s">
        <v>64</v>
      </c>
      <c r="E9" s="3"/>
      <c r="F9" s="3"/>
      <c r="G9" s="3"/>
      <c r="H9" s="3"/>
      <c r="I9" s="3"/>
      <c r="J9" s="3"/>
      <c r="K9" s="3" t="s">
        <v>128</v>
      </c>
      <c r="L9" s="3" t="s">
        <v>129</v>
      </c>
      <c r="M9" s="3" t="s">
        <v>130</v>
      </c>
      <c r="N9" s="3" t="s">
        <v>131</v>
      </c>
      <c r="O9" s="3" t="s">
        <v>64</v>
      </c>
    </row>
    <row r="10" spans="1:15" ht="51" x14ac:dyDescent="0.2">
      <c r="A10" s="3" t="str">
        <f t="shared" si="0"/>
        <v>009</v>
      </c>
      <c r="B10" s="3" t="s">
        <v>69</v>
      </c>
      <c r="C10" s="3"/>
      <c r="D10" s="3" t="s">
        <v>61</v>
      </c>
      <c r="E10" s="3"/>
      <c r="F10" s="3"/>
      <c r="G10" s="3"/>
      <c r="H10" s="3"/>
      <c r="I10" s="3"/>
      <c r="J10" s="3"/>
      <c r="K10" s="3" t="s">
        <v>83</v>
      </c>
      <c r="L10" s="3"/>
      <c r="M10" s="3" t="s">
        <v>132</v>
      </c>
      <c r="N10" s="3" t="s">
        <v>133</v>
      </c>
      <c r="O10" s="3" t="s">
        <v>61</v>
      </c>
    </row>
    <row r="11" spans="1:15" ht="51" x14ac:dyDescent="0.2">
      <c r="A11" s="3" t="str">
        <f t="shared" si="0"/>
        <v>010</v>
      </c>
      <c r="B11" s="6" t="s">
        <v>157</v>
      </c>
      <c r="C11" s="3"/>
      <c r="D11" s="3" t="s">
        <v>67</v>
      </c>
      <c r="E11" s="3"/>
      <c r="F11" s="3"/>
      <c r="G11" s="3"/>
      <c r="H11" s="3"/>
      <c r="I11" s="3"/>
      <c r="J11" s="3"/>
      <c r="K11" s="3" t="s">
        <v>134</v>
      </c>
      <c r="L11" s="3"/>
      <c r="M11" s="3" t="s">
        <v>85</v>
      </c>
      <c r="N11" s="3"/>
      <c r="O11" s="3" t="s">
        <v>67</v>
      </c>
    </row>
    <row r="12" spans="1:15" ht="51" x14ac:dyDescent="0.2">
      <c r="A12" s="3" t="str">
        <f t="shared" si="0"/>
        <v>011</v>
      </c>
      <c r="B12" s="3" t="s">
        <v>72</v>
      </c>
      <c r="C12" s="3"/>
      <c r="D12" s="3" t="s">
        <v>45</v>
      </c>
      <c r="E12" s="3"/>
      <c r="F12" s="3"/>
      <c r="G12" s="3"/>
      <c r="H12" s="3"/>
      <c r="I12" s="3"/>
      <c r="J12" s="3"/>
      <c r="K12" s="3"/>
      <c r="L12" s="3"/>
      <c r="M12" s="3" t="s">
        <v>135</v>
      </c>
      <c r="N12" s="3"/>
      <c r="O12" s="3" t="s">
        <v>45</v>
      </c>
    </row>
    <row r="13" spans="1:15" ht="34" x14ac:dyDescent="0.2">
      <c r="A13" s="3" t="str">
        <f t="shared" si="0"/>
        <v>012</v>
      </c>
      <c r="B13" s="3" t="s">
        <v>78</v>
      </c>
      <c r="C13" s="3"/>
      <c r="D13" s="3" t="s">
        <v>53</v>
      </c>
      <c r="E13" s="3"/>
      <c r="F13" s="3"/>
      <c r="G13" s="3"/>
      <c r="H13" s="3"/>
      <c r="I13" s="3"/>
      <c r="J13" s="3"/>
      <c r="K13" s="3"/>
      <c r="L13" s="3"/>
      <c r="M13" s="3" t="s">
        <v>74</v>
      </c>
      <c r="N13" s="3"/>
      <c r="O13" s="3" t="s">
        <v>53</v>
      </c>
    </row>
    <row r="14" spans="1:15" ht="17" x14ac:dyDescent="0.2">
      <c r="A14" s="3" t="str">
        <f t="shared" si="0"/>
        <v>013</v>
      </c>
      <c r="B14" s="3" t="s">
        <v>89</v>
      </c>
      <c r="C14" s="3"/>
      <c r="D14" s="3" t="s">
        <v>48</v>
      </c>
      <c r="E14" s="3"/>
      <c r="F14" s="3"/>
      <c r="G14" s="3"/>
      <c r="H14" s="3"/>
      <c r="I14" s="3"/>
      <c r="J14" s="3"/>
      <c r="K14" s="3"/>
      <c r="L14" s="3"/>
      <c r="M14" s="3" t="s">
        <v>136</v>
      </c>
      <c r="N14" s="3"/>
      <c r="O14" s="3" t="s">
        <v>48</v>
      </c>
    </row>
    <row r="15" spans="1:15" ht="17" x14ac:dyDescent="0.2">
      <c r="A15" s="3" t="str">
        <f t="shared" si="0"/>
        <v>014</v>
      </c>
      <c r="B15" s="3" t="s">
        <v>179</v>
      </c>
      <c r="C15" s="3"/>
      <c r="D15" s="3" t="s">
        <v>137</v>
      </c>
      <c r="E15" s="3"/>
      <c r="F15" s="3"/>
      <c r="G15" s="3"/>
      <c r="H15" s="3"/>
      <c r="I15" s="3"/>
      <c r="J15" s="3"/>
      <c r="K15" s="3"/>
      <c r="L15" s="3"/>
      <c r="M15" s="3" t="s">
        <v>138</v>
      </c>
      <c r="N15" s="3"/>
      <c r="O15" s="3" t="s">
        <v>137</v>
      </c>
    </row>
    <row r="16" spans="1:15" ht="17" x14ac:dyDescent="0.2">
      <c r="A16" s="3" t="str">
        <f t="shared" si="0"/>
        <v>015</v>
      </c>
      <c r="B16" s="3" t="s">
        <v>191</v>
      </c>
      <c r="C16" s="3"/>
      <c r="D16" s="3" t="s">
        <v>79</v>
      </c>
      <c r="E16" s="3"/>
      <c r="F16" s="3"/>
      <c r="G16" s="3"/>
      <c r="H16" s="3"/>
      <c r="I16" s="3"/>
      <c r="J16" s="3"/>
      <c r="K16" s="3"/>
      <c r="L16" s="3"/>
      <c r="M16" s="3"/>
      <c r="N16" s="3"/>
      <c r="O16" s="3" t="s">
        <v>79</v>
      </c>
    </row>
    <row r="17" spans="1:15" ht="17" x14ac:dyDescent="0.2">
      <c r="A17" s="3" t="str">
        <f t="shared" si="0"/>
        <v>016</v>
      </c>
      <c r="B17" s="3" t="s">
        <v>89</v>
      </c>
      <c r="C17" s="3"/>
      <c r="D17" s="3" t="s">
        <v>139</v>
      </c>
      <c r="E17" s="3"/>
      <c r="F17" s="3"/>
      <c r="G17" s="3"/>
      <c r="H17" s="3"/>
      <c r="I17" s="3"/>
      <c r="J17" s="3"/>
      <c r="K17" s="3"/>
      <c r="L17" s="3"/>
      <c r="M17" s="3"/>
      <c r="N17" s="3"/>
      <c r="O17" s="3" t="s">
        <v>139</v>
      </c>
    </row>
    <row r="18" spans="1:15" ht="17" x14ac:dyDescent="0.2">
      <c r="A18" s="3" t="str">
        <f t="shared" si="0"/>
        <v>017</v>
      </c>
      <c r="B18" s="3" t="s">
        <v>194</v>
      </c>
      <c r="C18" s="3"/>
      <c r="D18" s="3" t="s">
        <v>91</v>
      </c>
      <c r="E18" s="3"/>
      <c r="F18" s="3"/>
      <c r="G18" s="3"/>
      <c r="H18" s="3"/>
      <c r="I18" s="3"/>
      <c r="J18" s="3"/>
      <c r="K18" s="3"/>
      <c r="L18" s="3"/>
      <c r="M18" s="3"/>
      <c r="N18" s="3"/>
      <c r="O18" s="3" t="s">
        <v>91</v>
      </c>
    </row>
    <row r="19" spans="1:15" ht="17" x14ac:dyDescent="0.2">
      <c r="A19" s="3" t="str">
        <f t="shared" si="0"/>
        <v>018</v>
      </c>
      <c r="B19" s="3"/>
      <c r="C19" s="3"/>
      <c r="D19" s="3" t="s">
        <v>122</v>
      </c>
      <c r="E19" s="3"/>
      <c r="F19" s="3"/>
      <c r="G19" s="3"/>
      <c r="H19" s="3"/>
      <c r="I19" s="3"/>
      <c r="J19" s="3"/>
      <c r="K19" s="3"/>
      <c r="L19" s="3"/>
      <c r="M19" s="3"/>
      <c r="N19" s="3"/>
      <c r="O19" s="3" t="s">
        <v>122</v>
      </c>
    </row>
    <row r="20" spans="1:15" ht="17" x14ac:dyDescent="0.2">
      <c r="A20" s="3" t="str">
        <f t="shared" si="0"/>
        <v>019</v>
      </c>
      <c r="B20" s="3"/>
      <c r="C20" s="3"/>
      <c r="D20" s="3" t="s">
        <v>140</v>
      </c>
      <c r="E20" s="3"/>
      <c r="F20" s="3"/>
      <c r="G20" s="3"/>
      <c r="H20" s="3"/>
      <c r="I20" s="3"/>
      <c r="J20" s="3"/>
      <c r="K20" s="3"/>
      <c r="L20" s="3"/>
      <c r="M20" s="3"/>
      <c r="N20" s="3"/>
      <c r="O20" s="3" t="s">
        <v>140</v>
      </c>
    </row>
    <row r="21" spans="1:15" ht="17" x14ac:dyDescent="0.2">
      <c r="A21" s="3" t="str">
        <f t="shared" si="0"/>
        <v>020</v>
      </c>
      <c r="B21" s="3"/>
      <c r="C21" s="3"/>
      <c r="D21" s="3"/>
      <c r="E21" s="3"/>
      <c r="F21" s="3"/>
      <c r="G21" s="3"/>
      <c r="H21" s="3"/>
      <c r="I21" s="3"/>
      <c r="J21" s="3"/>
      <c r="K21" s="3"/>
      <c r="L21" s="3"/>
      <c r="M21" s="3"/>
      <c r="N21" s="3"/>
      <c r="O21" s="3"/>
    </row>
    <row r="22" spans="1:15" ht="17" x14ac:dyDescent="0.2">
      <c r="A22" s="3" t="str">
        <f t="shared" si="0"/>
        <v>021</v>
      </c>
      <c r="B22" s="3"/>
      <c r="C22" s="3"/>
      <c r="D22" s="3"/>
      <c r="E22" s="3"/>
      <c r="F22" s="3"/>
      <c r="G22" s="3"/>
      <c r="H22" s="3"/>
      <c r="I22" s="3"/>
      <c r="J22" s="3"/>
      <c r="K22" s="3"/>
      <c r="L22" s="3"/>
      <c r="M22" s="3"/>
      <c r="N22" s="3"/>
      <c r="O22" s="3"/>
    </row>
    <row r="23" spans="1:15" ht="17" x14ac:dyDescent="0.2">
      <c r="A23" s="3" t="str">
        <f t="shared" si="0"/>
        <v>022</v>
      </c>
      <c r="B23" s="3" t="s">
        <v>195</v>
      </c>
      <c r="C23" s="3"/>
      <c r="D23" s="3"/>
      <c r="E23" s="3"/>
      <c r="F23" s="3"/>
      <c r="G23" s="3"/>
      <c r="H23" s="3"/>
      <c r="I23" s="3"/>
      <c r="J23" s="3"/>
      <c r="K23" s="3"/>
      <c r="L23" s="3"/>
      <c r="M23" s="3"/>
      <c r="N23" s="3"/>
      <c r="O23" s="3"/>
    </row>
    <row r="24" spans="1:15" ht="17" x14ac:dyDescent="0.2">
      <c r="A24" s="3" t="str">
        <f t="shared" si="0"/>
        <v>023</v>
      </c>
      <c r="B24" s="3"/>
      <c r="C24" s="3"/>
      <c r="D24" s="3"/>
      <c r="E24" s="3"/>
      <c r="F24" s="3"/>
      <c r="G24" s="3"/>
      <c r="H24" s="3"/>
      <c r="I24" s="3"/>
      <c r="J24" s="3"/>
      <c r="K24" s="3"/>
      <c r="L24" s="3"/>
      <c r="M24" s="3"/>
      <c r="N24" s="3"/>
      <c r="O24" s="3"/>
    </row>
    <row r="25" spans="1:15" ht="17" x14ac:dyDescent="0.2">
      <c r="A25" s="3" t="str">
        <f t="shared" si="0"/>
        <v>024</v>
      </c>
      <c r="B25" s="3"/>
      <c r="C25" s="3"/>
      <c r="D25" s="3"/>
      <c r="E25" s="3"/>
      <c r="F25" s="3"/>
      <c r="G25" s="3"/>
      <c r="H25" s="3"/>
      <c r="I25" s="3"/>
      <c r="J25" s="3"/>
      <c r="K25" s="3"/>
      <c r="L25" s="3"/>
      <c r="M25" s="3"/>
      <c r="N25" s="3"/>
      <c r="O25" s="3"/>
    </row>
    <row r="26" spans="1:15" ht="17" x14ac:dyDescent="0.2">
      <c r="A26" s="3" t="str">
        <f t="shared" si="0"/>
        <v>025</v>
      </c>
      <c r="B26" s="3"/>
      <c r="C26" s="3"/>
      <c r="D26" s="3"/>
      <c r="E26" s="3"/>
      <c r="F26" s="3"/>
      <c r="G26" s="3"/>
      <c r="H26" s="3"/>
      <c r="I26" s="3"/>
      <c r="J26" s="3"/>
      <c r="K26" s="3"/>
      <c r="L26" s="3"/>
      <c r="M26" s="3"/>
      <c r="N26" s="3"/>
      <c r="O26" s="3"/>
    </row>
    <row r="27" spans="1:15" ht="17" x14ac:dyDescent="0.2">
      <c r="A27" s="3" t="str">
        <f t="shared" si="0"/>
        <v>026</v>
      </c>
      <c r="B27" s="3"/>
      <c r="C27" s="3"/>
      <c r="D27" s="3"/>
      <c r="E27" s="3"/>
      <c r="F27" s="3"/>
      <c r="G27" s="3"/>
      <c r="H27" s="3"/>
      <c r="I27" s="3"/>
      <c r="J27" s="3"/>
      <c r="K27" s="3"/>
      <c r="L27" s="3"/>
      <c r="M27" s="3"/>
      <c r="N27" s="3"/>
      <c r="O27" s="3"/>
    </row>
    <row r="28" spans="1:15" ht="17" x14ac:dyDescent="0.2">
      <c r="A28" s="3" t="str">
        <f t="shared" si="0"/>
        <v>027</v>
      </c>
      <c r="B28" s="3"/>
      <c r="C28" s="3"/>
      <c r="D28" s="3"/>
      <c r="E28" s="3"/>
      <c r="F28" s="3"/>
      <c r="G28" s="3"/>
      <c r="H28" s="3"/>
      <c r="I28" s="3"/>
      <c r="J28" s="3"/>
      <c r="K28" s="3"/>
      <c r="L28" s="3"/>
      <c r="M28" s="3"/>
      <c r="N28" s="3"/>
      <c r="O28" s="3"/>
    </row>
    <row r="29" spans="1:15" ht="17" x14ac:dyDescent="0.2">
      <c r="A29" s="3" t="str">
        <f t="shared" si="0"/>
        <v>028</v>
      </c>
      <c r="B29" s="3"/>
      <c r="C29" s="3"/>
      <c r="D29" s="3"/>
      <c r="E29" s="3"/>
      <c r="F29" s="3"/>
      <c r="G29" s="3"/>
      <c r="H29" s="3"/>
      <c r="I29" s="3"/>
      <c r="J29" s="3"/>
      <c r="K29" s="3"/>
      <c r="L29" s="3"/>
      <c r="M29" s="3"/>
      <c r="N29" s="3"/>
      <c r="O29" s="3"/>
    </row>
    <row r="30" spans="1:15" ht="17" x14ac:dyDescent="0.2">
      <c r="A30" s="3" t="str">
        <f t="shared" si="0"/>
        <v>029</v>
      </c>
      <c r="B30" s="3"/>
      <c r="C30" s="3"/>
      <c r="D30" s="3"/>
      <c r="E30" s="3"/>
      <c r="F30" s="3"/>
      <c r="G30" s="3"/>
      <c r="H30" s="3"/>
      <c r="I30" s="3"/>
      <c r="J30" s="3"/>
      <c r="K30" s="3"/>
      <c r="L30" s="3"/>
      <c r="M30" s="3"/>
      <c r="N30" s="3"/>
      <c r="O30" s="3"/>
    </row>
    <row r="31" spans="1:15" ht="17" x14ac:dyDescent="0.2">
      <c r="A31" s="3" t="str">
        <f t="shared" si="0"/>
        <v>030</v>
      </c>
      <c r="B31" s="3"/>
      <c r="C31" s="3"/>
      <c r="D31" s="3"/>
      <c r="E31" s="3"/>
      <c r="F31" s="3"/>
      <c r="G31" s="3"/>
      <c r="H31" s="3"/>
      <c r="I31" s="3"/>
      <c r="J31" s="3"/>
      <c r="K31" s="3"/>
      <c r="L31" s="3"/>
      <c r="M31" s="3"/>
      <c r="N31" s="3"/>
      <c r="O31" s="3"/>
    </row>
    <row r="32" spans="1:15" ht="17" x14ac:dyDescent="0.2">
      <c r="A32" s="3" t="str">
        <f t="shared" si="0"/>
        <v>031</v>
      </c>
      <c r="B32" s="3"/>
      <c r="C32" s="3"/>
      <c r="D32" s="3"/>
      <c r="E32" s="3"/>
      <c r="F32" s="3"/>
      <c r="G32" s="3"/>
      <c r="H32" s="3"/>
      <c r="I32" s="3"/>
      <c r="J32" s="3"/>
      <c r="K32" s="3"/>
      <c r="L32" s="3"/>
      <c r="M32" s="3"/>
      <c r="N32" s="3"/>
      <c r="O32" s="3"/>
    </row>
    <row r="33" spans="1:15" ht="17" x14ac:dyDescent="0.2">
      <c r="A33" s="3" t="str">
        <f t="shared" si="0"/>
        <v>032</v>
      </c>
      <c r="B33" s="3"/>
      <c r="C33" s="3"/>
      <c r="D33" s="3"/>
      <c r="E33" s="3"/>
      <c r="F33" s="3"/>
      <c r="G33" s="3"/>
      <c r="H33" s="3"/>
      <c r="I33" s="3"/>
      <c r="J33" s="3"/>
      <c r="K33" s="3"/>
      <c r="L33" s="3"/>
      <c r="M33" s="3"/>
      <c r="N33" s="3"/>
      <c r="O33" s="3"/>
    </row>
    <row r="34" spans="1:15" ht="17" x14ac:dyDescent="0.2">
      <c r="A34" s="3" t="str">
        <f t="shared" si="0"/>
        <v>033</v>
      </c>
      <c r="B34" s="3"/>
      <c r="C34" s="3"/>
      <c r="D34" s="3"/>
      <c r="E34" s="3"/>
      <c r="F34" s="3"/>
      <c r="G34" s="3"/>
      <c r="H34" s="3"/>
      <c r="I34" s="3"/>
      <c r="J34" s="3"/>
      <c r="K34" s="3"/>
      <c r="L34" s="3"/>
      <c r="M34" s="3"/>
      <c r="N34" s="3"/>
      <c r="O34" s="3"/>
    </row>
    <row r="35" spans="1:15" ht="17" x14ac:dyDescent="0.2">
      <c r="A35" s="3" t="str">
        <f t="shared" si="0"/>
        <v>034</v>
      </c>
      <c r="B35" s="3"/>
      <c r="C35" s="3"/>
      <c r="D35" s="3"/>
      <c r="E35" s="3"/>
      <c r="F35" s="3"/>
      <c r="G35" s="3"/>
      <c r="H35" s="3"/>
      <c r="I35" s="3"/>
      <c r="J35" s="3"/>
      <c r="K35" s="3"/>
      <c r="L35" s="3"/>
      <c r="M35" s="3"/>
      <c r="N35" s="3"/>
      <c r="O35" s="3"/>
    </row>
    <row r="36" spans="1:15" ht="17" x14ac:dyDescent="0.2">
      <c r="A36" s="3" t="str">
        <f t="shared" si="0"/>
        <v>035</v>
      </c>
      <c r="B36" s="3"/>
      <c r="C36" s="3"/>
      <c r="D36" s="3"/>
      <c r="E36" s="3"/>
      <c r="F36" s="3"/>
      <c r="G36" s="3"/>
      <c r="H36" s="3"/>
      <c r="I36" s="3"/>
      <c r="J36" s="3"/>
      <c r="K36" s="3"/>
      <c r="L36" s="3"/>
      <c r="M36" s="3"/>
      <c r="N36" s="3"/>
      <c r="O36" s="3"/>
    </row>
    <row r="37" spans="1:15" ht="17" x14ac:dyDescent="0.2">
      <c r="A37" s="3" t="str">
        <f t="shared" si="0"/>
        <v>036</v>
      </c>
      <c r="B37" s="3"/>
      <c r="C37" s="3"/>
      <c r="D37" s="3"/>
      <c r="E37" s="3"/>
      <c r="F37" s="3"/>
      <c r="G37" s="3"/>
      <c r="H37" s="3"/>
      <c r="I37" s="3"/>
      <c r="J37" s="3"/>
      <c r="K37" s="3"/>
      <c r="L37" s="3"/>
      <c r="M37" s="3"/>
      <c r="N37" s="3"/>
      <c r="O37" s="3"/>
    </row>
    <row r="38" spans="1:15" ht="17" x14ac:dyDescent="0.2">
      <c r="A38" s="3" t="str">
        <f t="shared" si="0"/>
        <v>037</v>
      </c>
      <c r="B38" s="3"/>
      <c r="C38" s="3"/>
      <c r="D38" s="3"/>
      <c r="E38" s="3"/>
      <c r="F38" s="3"/>
      <c r="G38" s="3"/>
      <c r="H38" s="3"/>
      <c r="I38" s="3"/>
      <c r="J38" s="3"/>
      <c r="K38" s="3"/>
      <c r="L38" s="3"/>
      <c r="M38" s="3"/>
      <c r="N38" s="3"/>
      <c r="O38" s="3"/>
    </row>
    <row r="39" spans="1:15" ht="17" x14ac:dyDescent="0.2">
      <c r="A39" s="3" t="str">
        <f t="shared" si="0"/>
        <v>038</v>
      </c>
      <c r="B39" s="3"/>
      <c r="C39" s="3"/>
      <c r="D39" s="3"/>
      <c r="E39" s="3"/>
      <c r="F39" s="3"/>
      <c r="G39" s="3"/>
      <c r="H39" s="3"/>
      <c r="I39" s="3"/>
      <c r="J39" s="3"/>
      <c r="K39" s="3"/>
      <c r="L39" s="3"/>
      <c r="M39" s="3"/>
      <c r="N39" s="3"/>
      <c r="O39" s="3"/>
    </row>
    <row r="40" spans="1:15" ht="17" x14ac:dyDescent="0.2">
      <c r="A40" s="3" t="str">
        <f t="shared" si="0"/>
        <v>039</v>
      </c>
      <c r="B40" s="3"/>
      <c r="C40" s="3"/>
      <c r="D40" s="3"/>
      <c r="E40" s="3"/>
      <c r="F40" s="3"/>
      <c r="G40" s="3"/>
      <c r="H40" s="3"/>
      <c r="I40" s="3"/>
      <c r="J40" s="3"/>
      <c r="K40" s="3"/>
      <c r="L40" s="3"/>
      <c r="M40" s="3"/>
      <c r="N40" s="3"/>
      <c r="O40" s="3"/>
    </row>
    <row r="41" spans="1:15" ht="17" x14ac:dyDescent="0.2">
      <c r="A41" s="3" t="str">
        <f t="shared" si="0"/>
        <v>040</v>
      </c>
      <c r="B41" s="3"/>
      <c r="C41" s="3"/>
      <c r="D41" s="3"/>
      <c r="E41" s="3"/>
      <c r="F41" s="3"/>
      <c r="G41" s="3"/>
      <c r="H41" s="3"/>
      <c r="I41" s="3"/>
      <c r="J41" s="3"/>
      <c r="K41" s="3"/>
      <c r="L41" s="3"/>
      <c r="M41" s="3"/>
      <c r="N41" s="3"/>
      <c r="O41" s="3"/>
    </row>
    <row r="42" spans="1:15" ht="17" x14ac:dyDescent="0.2">
      <c r="A42" s="3" t="str">
        <f t="shared" si="0"/>
        <v>041</v>
      </c>
      <c r="B42" s="3"/>
      <c r="C42" s="3"/>
      <c r="D42" s="3"/>
      <c r="E42" s="3"/>
      <c r="F42" s="3"/>
      <c r="G42" s="3"/>
      <c r="H42" s="3"/>
      <c r="I42" s="3"/>
      <c r="J42" s="3"/>
      <c r="K42" s="3"/>
      <c r="L42" s="3"/>
      <c r="M42" s="3"/>
      <c r="N42" s="3"/>
      <c r="O42" s="3"/>
    </row>
    <row r="43" spans="1:15" ht="17" x14ac:dyDescent="0.2">
      <c r="A43" s="3" t="str">
        <f t="shared" si="0"/>
        <v>042</v>
      </c>
      <c r="B43" s="3"/>
      <c r="C43" s="3"/>
      <c r="D43" s="3"/>
      <c r="E43" s="3"/>
      <c r="F43" s="3"/>
      <c r="G43" s="3"/>
      <c r="H43" s="3"/>
      <c r="I43" s="3"/>
      <c r="J43" s="3"/>
      <c r="K43" s="3"/>
      <c r="L43" s="3"/>
      <c r="M43" s="3"/>
      <c r="N43" s="3"/>
      <c r="O43" s="3"/>
    </row>
    <row r="44" spans="1:15" ht="17" x14ac:dyDescent="0.2">
      <c r="A44" s="3" t="str">
        <f t="shared" si="0"/>
        <v>043</v>
      </c>
      <c r="B44" s="3"/>
      <c r="C44" s="3"/>
      <c r="D44" s="3"/>
      <c r="E44" s="3"/>
      <c r="F44" s="3"/>
      <c r="G44" s="3"/>
      <c r="H44" s="3"/>
      <c r="I44" s="3"/>
      <c r="J44" s="3"/>
      <c r="K44" s="3"/>
      <c r="L44" s="3"/>
      <c r="M44" s="3"/>
      <c r="N44" s="3"/>
      <c r="O44" s="3"/>
    </row>
    <row r="45" spans="1:15" ht="17" x14ac:dyDescent="0.2">
      <c r="A45" s="3" t="str">
        <f t="shared" si="0"/>
        <v>044</v>
      </c>
      <c r="B45" s="3"/>
      <c r="C45" s="3"/>
      <c r="D45" s="3"/>
      <c r="E45" s="3"/>
      <c r="F45" s="3"/>
      <c r="G45" s="3"/>
      <c r="H45" s="3"/>
      <c r="I45" s="3"/>
      <c r="J45" s="3"/>
      <c r="K45" s="3"/>
      <c r="L45" s="3"/>
      <c r="M45" s="3"/>
      <c r="N45" s="3"/>
      <c r="O45" s="3"/>
    </row>
    <row r="46" spans="1:15" ht="17" x14ac:dyDescent="0.2">
      <c r="A46" s="3" t="str">
        <f t="shared" si="0"/>
        <v>045</v>
      </c>
      <c r="B46" s="3"/>
      <c r="C46" s="3"/>
      <c r="D46" s="3"/>
      <c r="E46" s="3"/>
      <c r="F46" s="3"/>
      <c r="G46" s="3"/>
      <c r="H46" s="3"/>
      <c r="I46" s="3"/>
      <c r="J46" s="3"/>
      <c r="K46" s="3"/>
      <c r="L46" s="3"/>
      <c r="M46" s="3"/>
      <c r="N46" s="3"/>
      <c r="O46" s="3"/>
    </row>
    <row r="47" spans="1:15" ht="17" x14ac:dyDescent="0.2">
      <c r="A47" s="3" t="str">
        <f t="shared" si="0"/>
        <v>046</v>
      </c>
      <c r="B47" s="3"/>
      <c r="C47" s="3"/>
      <c r="D47" s="3"/>
      <c r="E47" s="3"/>
      <c r="F47" s="3"/>
      <c r="G47" s="3"/>
      <c r="H47" s="3"/>
      <c r="I47" s="3"/>
      <c r="J47" s="3"/>
      <c r="K47" s="3"/>
      <c r="L47" s="3"/>
      <c r="M47" s="3"/>
      <c r="N47" s="3"/>
      <c r="O47" s="3"/>
    </row>
    <row r="48" spans="1:15" ht="17" x14ac:dyDescent="0.2">
      <c r="A48" s="3" t="str">
        <f t="shared" si="0"/>
        <v>047</v>
      </c>
      <c r="B48" s="3"/>
      <c r="C48" s="3"/>
      <c r="D48" s="3"/>
      <c r="E48" s="3"/>
      <c r="F48" s="3"/>
      <c r="G48" s="3"/>
      <c r="H48" s="3"/>
      <c r="I48" s="3"/>
      <c r="J48" s="3"/>
      <c r="K48" s="3"/>
      <c r="L48" s="3"/>
      <c r="M48" s="3"/>
      <c r="N48" s="3"/>
      <c r="O48" s="3"/>
    </row>
    <row r="49" spans="1:15" ht="17" x14ac:dyDescent="0.2">
      <c r="A49" s="3" t="str">
        <f t="shared" si="0"/>
        <v>048</v>
      </c>
      <c r="B49" s="3"/>
      <c r="C49" s="3"/>
      <c r="D49" s="3"/>
      <c r="E49" s="3"/>
      <c r="F49" s="3"/>
      <c r="G49" s="3"/>
      <c r="H49" s="3"/>
      <c r="I49" s="3"/>
      <c r="J49" s="3"/>
      <c r="K49" s="3"/>
      <c r="L49" s="3"/>
      <c r="M49" s="3"/>
      <c r="N49" s="3"/>
      <c r="O49" s="3"/>
    </row>
    <row r="50" spans="1:15" ht="17" x14ac:dyDescent="0.2">
      <c r="A50" s="3" t="str">
        <f t="shared" si="0"/>
        <v>049</v>
      </c>
      <c r="B50" s="3"/>
      <c r="C50" s="3"/>
      <c r="D50" s="3"/>
      <c r="E50" s="3"/>
      <c r="F50" s="3"/>
      <c r="G50" s="3"/>
      <c r="H50" s="3"/>
      <c r="I50" s="3"/>
      <c r="J50" s="3"/>
      <c r="K50" s="3"/>
      <c r="L50" s="3"/>
      <c r="M50" s="3"/>
      <c r="N50" s="3"/>
      <c r="O5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12</vt:i4>
      </vt:variant>
    </vt:vector>
  </HeadingPairs>
  <TitlesOfParts>
    <vt:vector size="14" baseType="lpstr">
      <vt:lpstr>conceptual evolution tree_datab</vt:lpstr>
      <vt:lpstr>Classification Options</vt:lpstr>
      <vt:lpstr>ArtefactTypeOptions</vt:lpstr>
      <vt:lpstr>ConceptTagOptions</vt:lpstr>
      <vt:lpstr>DiscourseOptions</vt:lpstr>
      <vt:lpstr>DomainInteractionOptions</vt:lpstr>
      <vt:lpstr>InteractingScaleOptions</vt:lpstr>
      <vt:lpstr>InterScalarOptions</vt:lpstr>
      <vt:lpstr>MutationOptions</vt:lpstr>
      <vt:lpstr>RelationalTypeOptions</vt:lpstr>
      <vt:lpstr>Scaffold_Type_Sectors_Options</vt:lpstr>
      <vt:lpstr>StateOptions</vt:lpstr>
      <vt:lpstr>SystemConditionOptions</vt:lpstr>
      <vt:lpstr>TemporalCharacterOptions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Blaney, Adam</cp:lastModifiedBy>
  <dcterms:created xsi:type="dcterms:W3CDTF">2026-07-21T14:45:14Z</dcterms:created>
  <dcterms:modified xsi:type="dcterms:W3CDTF">2026-07-31T10:11:39Z</dcterms:modified>
</cp:coreProperties>
</file>