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anozkan/Documents/VS Studio/2026_DRS Making Sustainability /conceptual evolution tree/"/>
    </mc:Choice>
  </mc:AlternateContent>
  <xr:revisionPtr revIDLastSave="0" documentId="13_ncr:9_{02F275A3-3824-E74F-AF40-5140AC92B803}" xr6:coauthVersionLast="47" xr6:coauthVersionMax="47" xr10:uidLastSave="{00000000-0000-0000-0000-000000000000}"/>
  <bookViews>
    <workbookView xWindow="-260" yWindow="980" windowWidth="27640" windowHeight="15720" xr2:uid="{2A78B405-64EE-5E43-AF7A-E1C57D52D008}"/>
  </bookViews>
  <sheets>
    <sheet name="TEMP_conceptual evolution tree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1" l="1" a="1"/>
  <c r="A14" i="1" s="1"/>
  <c r="C14" i="1" s="1"/>
  <c r="A13" i="1" a="1"/>
  <c r="A13" i="1" s="1"/>
  <c r="C13" i="1" s="1"/>
  <c r="A12" i="1" a="1"/>
  <c r="A12" i="1" s="1"/>
  <c r="C12" i="1" s="1"/>
  <c r="A11" i="1" a="1"/>
  <c r="A11" i="1" s="1"/>
  <c r="C11" i="1" s="1"/>
  <c r="A10" i="1" a="1"/>
  <c r="A10" i="1" s="1"/>
  <c r="C10" i="1" s="1"/>
  <c r="A7" i="1" a="1"/>
  <c r="A7" i="1" s="1"/>
  <c r="C7" i="1" s="1"/>
  <c r="A6" i="1" a="1"/>
  <c r="A6" i="1" s="1"/>
  <c r="C6" i="1" s="1"/>
  <c r="A5" i="1" a="1"/>
  <c r="A5" i="1" s="1"/>
  <c r="C5" i="1" s="1"/>
  <c r="A4" i="1" a="1"/>
  <c r="A4" i="1" s="1"/>
  <c r="C4" i="1" s="1"/>
  <c r="A3" i="1" a="1"/>
  <c r="A3" i="1" s="1"/>
  <c r="C3" i="1" s="1"/>
  <c r="A2" i="1" a="1"/>
  <c r="A2" i="1" s="1"/>
  <c r="C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<sst xmlns="http://schemas.openxmlformats.org/spreadsheetml/2006/main" count="105" uniqueCount="105">
  <si>
    <t>Project</t>
  </si>
  <si>
    <t>System Condition</t>
  </si>
  <si>
    <t>Relational Type</t>
  </si>
  <si>
    <t>Artefact Type</t>
  </si>
  <si>
    <t>State</t>
  </si>
  <si>
    <t>Temporal Character</t>
  </si>
  <si>
    <t>Scale of Interaction</t>
  </si>
  <si>
    <t>What question it opened</t>
  </si>
  <si>
    <t>executed</t>
  </si>
  <si>
    <t>Mutation</t>
  </si>
  <si>
    <t>Discourse</t>
  </si>
  <si>
    <t>extension</t>
  </si>
  <si>
    <t>Non [Analogue]</t>
  </si>
  <si>
    <t>closed</t>
  </si>
  <si>
    <t>event-based</t>
  </si>
  <si>
    <t>stimulus-response</t>
  </si>
  <si>
    <t>prototype</t>
  </si>
  <si>
    <t>Non [Digital]</t>
  </si>
  <si>
    <t>system-closing</t>
  </si>
  <si>
    <t>state-shift</t>
  </si>
  <si>
    <t>scaffold type</t>
  </si>
  <si>
    <t>dimensions shift</t>
  </si>
  <si>
    <t>Feedback [Digital]</t>
  </si>
  <si>
    <t>cyclical</t>
  </si>
  <si>
    <t>Concept Tags</t>
  </si>
  <si>
    <t>evolvable parameters</t>
  </si>
  <si>
    <t>Related references</t>
  </si>
  <si>
    <t>Webpage slug</t>
  </si>
  <si>
    <t xml:space="preserve">Source material folder </t>
  </si>
  <si>
    <t xml:space="preserve">Video Link  </t>
  </si>
  <si>
    <t>forming</t>
  </si>
  <si>
    <t>system-opening</t>
  </si>
  <si>
    <t>open</t>
  </si>
  <si>
    <t>speculative</t>
  </si>
  <si>
    <t>ecological attunement</t>
  </si>
  <si>
    <t>webpage</t>
  </si>
  <si>
    <t>ID Number</t>
  </si>
  <si>
    <t>Mineral Accretion</t>
  </si>
  <si>
    <t>Mineral Accretion: Variable Properties</t>
  </si>
  <si>
    <t>Mineral Accretion: Data Informed Variable Properties</t>
  </si>
  <si>
    <t>Mineral Accretion: Feedback</t>
  </si>
  <si>
    <t>2D Paint Patterns</t>
  </si>
  <si>
    <t>3D Paint Patterns</t>
  </si>
  <si>
    <t>Magnetised Wax</t>
  </si>
  <si>
    <t>Magnetised Thermoplastics: Material Samples</t>
  </si>
  <si>
    <t>Magnetised Thermoplastics: Speculative Prosthetics</t>
  </si>
  <si>
    <t>Windows of Influence</t>
  </si>
  <si>
    <t>Ecological Twinning</t>
  </si>
  <si>
    <t>Parent Project ID</t>
  </si>
  <si>
    <t>001 - Mineral Accretion</t>
  </si>
  <si>
    <t>002 - Mineral Accretion: Variable Properties</t>
  </si>
  <si>
    <t>003 - Mineral Accretion: Data Informed Variable Properties</t>
  </si>
  <si>
    <t>005 - 2D Paint Patterns</t>
  </si>
  <si>
    <t>009 - Magnetised Wax</t>
  </si>
  <si>
    <t>010 - Magnetised Thermoplastics: Material Samples</t>
  </si>
  <si>
    <t>011 - Magnetised Thermoplastics: Speculative Prosthetics</t>
  </si>
  <si>
    <t>Material behaviour can be directed through modulated stimuli rather than fixed form.</t>
  </si>
  <si>
    <t>What happens when multiple stimuli overlap, interfere, or override one another?</t>
  </si>
  <si>
    <t>localised growth</t>
  </si>
  <si>
    <t>digital communication</t>
  </si>
  <si>
    <t>dimensions-shift</t>
  </si>
  <si>
    <t>material-shift</t>
  </si>
  <si>
    <t>abstraction</t>
  </si>
  <si>
    <t>exchange</t>
  </si>
  <si>
    <t>cascade</t>
  </si>
  <si>
    <t>pause</t>
  </si>
  <si>
    <t>turbulence</t>
  </si>
  <si>
    <t>relational unflattening</t>
  </si>
  <si>
    <t>maintanence</t>
  </si>
  <si>
    <t>available adaptation</t>
  </si>
  <si>
    <t>temporal interactions</t>
  </si>
  <si>
    <t>localised growth through distributed, localised  stimulus fields</t>
  </si>
  <si>
    <t>time-shift</t>
  </si>
  <si>
    <t>scale-shift</t>
  </si>
  <si>
    <t>Possible future mutation</t>
  </si>
  <si>
    <t>Possible mutation note</t>
  </si>
  <si>
    <t>How can digital comunication be established with materials</t>
  </si>
  <si>
    <t xml:space="preserve">Combined ID Number + Project </t>
  </si>
  <si>
    <t>What it helped me think</t>
  </si>
  <si>
    <t>Rigid</t>
  </si>
  <si>
    <t>Liquid</t>
  </si>
  <si>
    <t>Digital</t>
  </si>
  <si>
    <t>Stimuli + State</t>
  </si>
  <si>
    <t>Material Responses in relation to an application</t>
  </si>
  <si>
    <t>How can discourse be reparamterised on the fly? How can meaninfgul discourse be SOMETHING within open-system intercations</t>
  </si>
  <si>
    <t>Dimensions and heirachical states governs types of interactions and material properties ellicited</t>
  </si>
  <si>
    <t>Fidelity when shifting from 2D to 3D</t>
  </si>
  <si>
    <t>domain-shift</t>
  </si>
  <si>
    <t>Scaffold Type Sectors</t>
  </si>
  <si>
    <t>Materials</t>
  </si>
  <si>
    <t>Ecologies</t>
  </si>
  <si>
    <t>Governance</t>
  </si>
  <si>
    <t>Bodies</t>
  </si>
  <si>
    <t>Questions Raised</t>
  </si>
  <si>
    <t>Which ideas arose independently from this starting point? | Does this project operate at one scale, or span several simultaneously?</t>
  </si>
  <si>
    <t>What changed even though the Scale of Interaction remained Materials? | Does this project operate at one scale, or span several simultaneously?</t>
  </si>
  <si>
    <t>What changed even though the Scale of Interaction remained Materials? | Does this project operate at one scale, or span several simultaneously?</t>
  </si>
  <si>
    <t>What changed even though the Scale of Interaction remained Materials? | Does this project operate at one scale, or span several simultaneously?</t>
  </si>
  <si>
    <t>Which ideas arose independently from this starting point? | Does this project operate at one scale, or span several simultaneously?</t>
  </si>
  <si>
    <t>What changed even though the Scale of Interaction remained Materials? | Does this project operate at one scale, or span several simultaneously?</t>
  </si>
  <si>
    <t>Which ideas arose independently from this starting point? | Does this project operate at one scale, or span several simultaneously?</t>
  </si>
  <si>
    <t>What changed even though the Scale of Interaction remained Materials? | Does this project operate at one scale, or span several simultaneously?</t>
  </si>
  <si>
    <t>What changes when this idea moves from Materials to Bodies? | Does this project operate at one scale, or span several simultaneously?</t>
  </si>
  <si>
    <t>What changes when this idea moves from Bodies to Ecologies? | What persists when the scaffold changes from Stimuli + State to Digital? | Where did a closed system become open? | Does this project operate at one scale, or span several simultaneously?</t>
  </si>
  <si>
    <t>Which ideas arose independently from this starting point? | Does this project operate at one scale, or span several simultaneously?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</si>
</sst>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Display"/>
      <scheme val="major"/>
    </font>
    <font>
      <sz val="12"/>
      <color theme="1"/>
      <name val="Aptos Display"/>
      <scheme val="major"/>
    </font>
    <font>
      <sz val="12"/>
      <color rgb="FF000000"/>
      <name val="Aptos Display"/>
      <scheme val="maj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3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55E3068-606F-1148-ABC2-32E3EC82E5DD}">
  <dimension ref="A1:W14"/>
  <sheetViews>
    <sheetView tabSelected="1" workbookViewId="0">
      <pane xSplit="5" ySplit="6" topLeftCell="T7" activePane="bottomRight" state="frozen"/>
      <selection pane="topRight" activeCell="F1" sqref="F1"/>
      <selection pane="bottomLeft" activeCell="A7" sqref="A7"/>
      <selection pane="bottomRight" activeCell="V5" sqref="V5"/>
    </sheetView>
  </sheetViews>
  <sheetFormatPr baseColWidth="10" defaultRowHeight="16" ns3:dyDescent="0.2"/>
  <cols>
    <col min="2" max="2" width="37.33203125" bestFit="1" customWidth="1"/>
    <col min="3" max="3" width="37.33203125" customWidth="1"/>
    <col min="5" max="5" width="19.6640625" style="1" bestFit="1" customWidth="1"/>
    <col min="6" max="8" width="19.6640625" customWidth="1"/>
    <col min="9" max="9" width="15.33203125" bestFit="1" customWidth="1"/>
    <col min="10" max="10" width="17" bestFit="1" customWidth="1"/>
    <col min="11" max="11" width="17.5" bestFit="1" customWidth="1"/>
    <col min="12" max="12" width="16" bestFit="1" customWidth="1"/>
    <col min="13" max="13" width="16" customWidth="1"/>
    <col min="14" max="14" width="11.6640625" bestFit="1" customWidth="1"/>
    <col min="15" max="16" width="17.33203125" customWidth="1"/>
    <col min="17" max="17" width="11.6640625" customWidth="1"/>
    <col min="18" max="19" width="26.33203125" bestFit="1" customWidth="1"/>
    <col min="20" max="20" width="19.83203125" bestFit="1" customWidth="1"/>
    <col min="21" max="21" width="19.83203125" customWidth="1"/>
    <col min="22" max="22" width="21.5" customWidth="1"/>
    <col min="23" max="23" width="21.6640625" customWidth="1"/>
  </cols>
  <sheetData>
    <row r="1" spans="1:23" ht="33" thickBot="1" ns3:dyDescent="0.25">
      <c r="A1" s="2" t="s">
        <v>36</v>
      </c>
      <c r="B1" s="2" t="s">
        <v>0</v>
      </c>
      <c r="C1" s="3" t="s">
        <v>77</v>
      </c>
      <c r="D1" s="4" t="s">
        <v>4</v>
      </c>
      <c r="E1" s="4" t="s">
        <v>48</v>
      </c>
      <c r="F1" s="4" t="s">
        <v>9</v>
      </c>
      <c r="G1" s="4" t="s">
        <v>88</v>
      </c>
      <c r="H1" s="4" t="s">
        <v>10</v>
      </c>
      <c r="I1" s="4" t="s">
        <v>1</v>
      </c>
      <c r="J1" s="4" t="s">
        <v>6</v>
      </c>
      <c r="K1" s="4" t="s">
        <v>5</v>
      </c>
      <c r="L1" s="4" t="s">
        <v>2</v>
      </c>
      <c r="M1" s="4" t="s">
        <v>24</v>
      </c>
      <c r="N1" s="4" t="s">
        <v>3</v>
      </c>
      <c r="O1" s="4" t="s">
        <v>28</v>
      </c>
      <c r="P1" s="4" t="s">
        <v>29</v>
      </c>
      <c r="Q1" s="4" t="s">
        <v>27</v>
      </c>
      <c r="R1" s="4" t="s">
        <v>78</v>
      </c>
      <c r="S1" s="4" t="s">
        <v>7</v>
      </c>
      <c r="T1" s="5" t="s">
        <v>74</v>
      </c>
      <c r="U1" s="5" t="s">
        <v>75</v>
      </c>
      <c r="V1" s="6" t="s">
        <v>26</v>
      </c>
      <c r="W1" s="6" t="s">
        <v>93</v>
      </c>
    </row>
    <row r="2" spans="1:23" ht="64" ns3:dyDescent="0.2">
      <c r="A2" s="9" t="str" cm="1">
        <f t="array" ref="A2">TEXT(ROW(1:1),"000")</f>
        <v>001</v>
      </c>
      <c r="B2" s="7" t="s">
        <v>37</v>
      </c>
      <c r="C2" s="10" t="str">
        <f>A2 &amp; " - " &amp; B2</f>
        <v>001 - Mineral Accretion</v>
      </c>
      <c r="D2" s="8" t="s">
        <v>8</v>
      </c>
      <c r="E2" s="7"/>
      <c r="F2" s="7"/>
      <c r="G2" s="7" t="s">
        <v>79</v>
      </c>
      <c r="H2" s="7" t="s">
        <v>12</v>
      </c>
      <c r="I2" s="7" t="s">
        <v>13</v>
      </c>
      <c r="J2" s="7" t="s">
        <v>89</v>
      </c>
      <c r="K2" s="7" t="s">
        <v>14</v>
      </c>
      <c r="L2" s="7" t="s">
        <v>15</v>
      </c>
      <c r="M2" s="7" t="s">
        <v>66</v>
      </c>
      <c r="N2" s="7" t="s">
        <v>16</v>
      </c>
      <c r="O2" s="7"/>
      <c r="P2" s="7"/>
      <c r="Q2" s="7"/>
      <c r="R2" s="7" t="s">
        <v>56</v>
      </c>
      <c r="S2" s="7" t="s">
        <v>57</v>
      </c>
      <c r="T2" s="8" t="s">
        <v>58</v>
      </c>
      <c r="U2" s="7" t="s">
        <v>71</v>
      </c>
      <c r="V2" s="7"/>
      <c r="W2" t="s">
        <v>94</v>
      </c>
    </row>
    <row r="3" spans="1:23" ht="32" ns3:dyDescent="0.2">
      <c r="A3" s="8" t="str" cm="1">
        <f t="array" ref="A3">TEXT(ROW(2:2),"000")</f>
        <v>002</v>
      </c>
      <c r="B3" s="8" t="s">
        <v>38</v>
      </c>
      <c r="C3" s="11" t="str">
        <f>A3 &amp; " - " &amp; B3</f>
        <v>002 - Mineral Accretion: Variable Properties</v>
      </c>
      <c r="D3" s="8" t="s">
        <v>8</v>
      </c>
      <c r="E3" s="8" t="s">
        <v>49</v>
      </c>
      <c r="F3" s="8" t="s">
        <v>58</v>
      </c>
      <c r="G3" s="7" t="s">
        <v>79</v>
      </c>
      <c r="H3" s="8" t="s">
        <v>12</v>
      </c>
      <c r="I3" s="8" t="s">
        <v>13</v>
      </c>
      <c r="J3" s="7" t="s">
        <v>89</v>
      </c>
      <c r="K3" s="8" t="s">
        <v>14</v>
      </c>
      <c r="L3" s="7" t="s">
        <v>15</v>
      </c>
      <c r="M3" s="7" t="s">
        <v>66</v>
      </c>
      <c r="N3" s="8" t="s">
        <v>16</v>
      </c>
      <c r="O3" s="8"/>
      <c r="P3" s="8"/>
      <c r="Q3" s="8"/>
      <c r="R3" s="8"/>
      <c r="S3" s="8" t="s">
        <v>76</v>
      </c>
      <c r="T3" s="8" t="s">
        <v>20</v>
      </c>
      <c r="U3" s="8"/>
      <c r="V3" s="8"/>
      <c r="W3" t="s">
        <v>95</v>
      </c>
    </row>
    <row r="4" spans="1:23" ht="48" ns3:dyDescent="0.2">
      <c r="A4" s="8" t="str" cm="1">
        <f t="array" ref="A4">TEXT(ROW(3:3),"000")</f>
        <v>003</v>
      </c>
      <c r="B4" s="8" t="s">
        <v>39</v>
      </c>
      <c r="C4" s="11" t="str">
        <f>A4 &amp; " - " &amp; B4</f>
        <v>003 - Mineral Accretion: Data Informed Variable Properties</v>
      </c>
      <c r="D4" s="8" t="s">
        <v>8</v>
      </c>
      <c r="E4" s="8" t="s">
        <v>50</v>
      </c>
      <c r="F4" s="8" t="s">
        <v>59</v>
      </c>
      <c r="G4" s="7" t="s">
        <v>79</v>
      </c>
      <c r="H4" s="8" t="s">
        <v>17</v>
      </c>
      <c r="I4" s="8" t="s">
        <v>13</v>
      </c>
      <c r="J4" s="7" t="s">
        <v>89</v>
      </c>
      <c r="K4" s="8" t="s">
        <v>14</v>
      </c>
      <c r="L4" s="7" t="s">
        <v>15</v>
      </c>
      <c r="M4" s="7" t="s">
        <v>68</v>
      </c>
      <c r="N4" s="8" t="s">
        <v>16</v>
      </c>
      <c r="O4" s="8"/>
      <c r="P4" s="8"/>
      <c r="Q4" s="8"/>
      <c r="R4" s="8"/>
      <c r="S4" s="8"/>
      <c r="T4" s="8" t="s">
        <v>72</v>
      </c>
      <c r="U4" s="8"/>
      <c r="V4" s="8"/>
      <c r="W4" t="s">
        <v>96</v>
      </c>
    </row>
    <row r="5" spans="1:23" ht="64" ns3:dyDescent="0.2">
      <c r="A5" s="8" t="str" cm="1">
        <f t="array" ref="A5">TEXT(ROW(4:4),"000")</f>
        <v>004</v>
      </c>
      <c r="B5" s="8" t="s">
        <v>40</v>
      </c>
      <c r="C5" s="11" t="str">
        <f>A5 &amp; " - " &amp; B5</f>
        <v>004 - Mineral Accretion: Feedback</v>
      </c>
      <c r="D5" s="8" t="s">
        <v>8</v>
      </c>
      <c r="E5" s="8" t="s">
        <v>51</v>
      </c>
      <c r="F5" s="8" t="s">
        <v>18</v>
      </c>
      <c r="G5" s="7" t="s">
        <v>79</v>
      </c>
      <c r="H5" s="8" t="s">
        <v>22</v>
      </c>
      <c r="I5" s="8" t="s">
        <v>13</v>
      </c>
      <c r="J5" s="7" t="s">
        <v>89</v>
      </c>
      <c r="K5" s="8" t="s">
        <v>23</v>
      </c>
      <c r="L5" s="7" t="s">
        <v>63</v>
      </c>
      <c r="M5" s="7" t="s">
        <v>67</v>
      </c>
      <c r="N5" s="8" t="s">
        <v>16</v>
      </c>
      <c r="O5" s="8"/>
      <c r="P5" s="8"/>
      <c r="Q5" s="8"/>
      <c r="R5" s="8"/>
      <c r="S5" s="8"/>
      <c r="T5" s="8" t="s">
        <v>31</v>
      </c>
      <c r="U5" s="8"/>
      <c r="V5" s="8"/>
      <c r="W5" t="s">
        <v>97</v>
      </c>
    </row>
    <row r="6" spans="1:23" ht="32" ns3:dyDescent="0.2">
      <c r="A6" s="8" t="str" cm="1">
        <f t="array" ref="A6">TEXT(ROW(5:5),"000")</f>
        <v>005</v>
      </c>
      <c r="B6" s="8" t="s">
        <v>41</v>
      </c>
      <c r="C6" s="11" t="str">
        <f>A6 &amp; " - " &amp; B6</f>
        <v>005 - 2D Paint Patterns</v>
      </c>
      <c r="D6" s="8" t="s">
        <v>8</v>
      </c>
      <c r="E6" s="8"/>
      <c r="F6" s="8" t="s">
        <v>20</v>
      </c>
      <c r="G6" s="7" t="s">
        <v>80</v>
      </c>
      <c r="H6" s="8" t="s">
        <v>17</v>
      </c>
      <c r="I6" s="8" t="s">
        <v>13</v>
      </c>
      <c r="J6" s="7" t="s">
        <v>89</v>
      </c>
      <c r="K6" s="8" t="s">
        <v>14</v>
      </c>
      <c r="L6" s="7" t="s">
        <v>15</v>
      </c>
      <c r="M6" s="7" t="s">
        <v>69</v>
      </c>
      <c r="N6" s="8" t="s">
        <v>16</v>
      </c>
      <c r="O6" s="8"/>
      <c r="P6" s="8"/>
      <c r="Q6" s="8"/>
      <c r="R6" s="8"/>
      <c r="S6" s="8"/>
      <c r="T6" s="8" t="s">
        <v>20</v>
      </c>
      <c r="U6" s="8"/>
      <c r="V6" s="8"/>
      <c r="W6" t="s">
        <v>98</v>
      </c>
    </row>
    <row r="7" spans="1:23" ht="32" ns3:dyDescent="0.2">
      <c r="A7" s="8" t="str" cm="1">
        <f t="array" ref="A7">TEXT(ROW(6:6),"000")</f>
        <v>006</v>
      </c>
      <c r="B7" s="8" t="s">
        <v>42</v>
      </c>
      <c r="C7" s="11" t="str">
        <f>A7 &amp; " - " &amp; B7</f>
        <v>006 - 3D Paint Patterns</v>
      </c>
      <c r="D7" s="8" t="s">
        <v>8</v>
      </c>
      <c r="E7" s="8" t="s">
        <v>52</v>
      </c>
      <c r="F7" s="8" t="s">
        <v>60</v>
      </c>
      <c r="G7" s="7" t="s">
        <v>80</v>
      </c>
      <c r="H7" s="8" t="s">
        <v>17</v>
      </c>
      <c r="I7" s="8" t="s">
        <v>13</v>
      </c>
      <c r="J7" s="7" t="s">
        <v>89</v>
      </c>
      <c r="K7" s="8" t="s">
        <v>14</v>
      </c>
      <c r="L7" s="7" t="s">
        <v>15</v>
      </c>
      <c r="M7" s="7" t="s">
        <v>69</v>
      </c>
      <c r="N7" s="8" t="s">
        <v>16</v>
      </c>
      <c r="O7" s="8"/>
      <c r="P7" s="8"/>
      <c r="Q7" s="8"/>
      <c r="R7" s="8"/>
      <c r="S7" s="8"/>
      <c r="T7" s="8" t="s">
        <v>19</v>
      </c>
      <c r="U7" s="8"/>
      <c r="V7" s="8"/>
      <c r="W7" t="s">
        <v>99</v>
      </c>
    </row>
    <row r="8" spans="1:23" ns3:dyDescent="0.2">
      <c r="A8" s="8"/>
      <c r="B8" s="8"/>
      <c r="C8" s="8"/>
      <c r="D8" s="8"/>
      <c r="E8" s="8"/>
      <c r="F8" s="8"/>
      <c r="G8" s="8"/>
      <c r="H8" s="8"/>
      <c r="I8" s="8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3" ns3:dyDescent="0.2">
      <c r="A9" s="8"/>
      <c r="B9" s="8"/>
      <c r="C9" s="8"/>
      <c r="D9" s="8"/>
      <c r="E9" s="8"/>
      <c r="F9" s="8"/>
      <c r="G9" s="8"/>
      <c r="H9" s="8"/>
      <c r="I9" s="8"/>
      <c r="J9" s="7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3" ht="32" ns3:dyDescent="0.2">
      <c r="A10" s="8" t="str" cm="1">
        <f t="array" ref="A10">TEXT(ROW(9:9),"000")</f>
        <v>009</v>
      </c>
      <c r="B10" s="8" t="s">
        <v>43</v>
      </c>
      <c r="C10" s="11" t="str">
        <f>A10 &amp; " - " &amp; B10</f>
        <v>009 - Magnetised Wax</v>
      </c>
      <c r="D10" s="8" t="s">
        <v>8</v>
      </c>
      <c r="E10" s="8"/>
      <c r="F10" s="8" t="s">
        <v>61</v>
      </c>
      <c r="G10" s="7" t="s">
        <v>82</v>
      </c>
      <c r="H10" s="8" t="s">
        <v>17</v>
      </c>
      <c r="I10" s="8" t="s">
        <v>13</v>
      </c>
      <c r="J10" s="7" t="s">
        <v>89</v>
      </c>
      <c r="K10" s="8" t="s">
        <v>14</v>
      </c>
      <c r="L10" s="7" t="s">
        <v>15</v>
      </c>
      <c r="M10" s="7" t="s">
        <v>70</v>
      </c>
      <c r="N10" s="8" t="s">
        <v>16</v>
      </c>
      <c r="O10" s="8"/>
      <c r="P10" s="8"/>
      <c r="Q10" s="8"/>
      <c r="R10" s="8"/>
      <c r="S10" s="8"/>
      <c r="T10" s="8" t="s">
        <v>73</v>
      </c>
      <c r="U10" s="8"/>
      <c r="V10" s="8"/>
      <c r="W10" t="s">
        <v>100</v>
      </c>
    </row>
    <row r="11" spans="1:23" ht="32" ns3:dyDescent="0.2">
      <c r="A11" s="8" t="str" cm="1">
        <f t="array" ref="A11">TEXT(ROW(10:10),"000")</f>
        <v>010</v>
      </c>
      <c r="B11" s="8" t="s">
        <v>44</v>
      </c>
      <c r="C11" s="11" t="str">
        <f>A11 &amp; " - " &amp; B11</f>
        <v>010 - Magnetised Thermoplastics: Material Samples</v>
      </c>
      <c r="D11" s="8" t="s">
        <v>8</v>
      </c>
      <c r="E11" s="8" t="s">
        <v>53</v>
      </c>
      <c r="F11" s="8" t="s">
        <v>11</v>
      </c>
      <c r="G11" s="7" t="s">
        <v>82</v>
      </c>
      <c r="H11" s="8" t="s">
        <v>17</v>
      </c>
      <c r="I11" s="8" t="s">
        <v>13</v>
      </c>
      <c r="J11" s="7" t="s">
        <v>89</v>
      </c>
      <c r="K11" s="8" t="s">
        <v>23</v>
      </c>
      <c r="L11" s="7" t="s">
        <v>15</v>
      </c>
      <c r="M11" s="7" t="s">
        <v>70</v>
      </c>
      <c r="N11" s="8" t="s">
        <v>16</v>
      </c>
      <c r="O11" s="8"/>
      <c r="P11" s="8"/>
      <c r="Q11" s="8"/>
      <c r="R11" s="8" t="s">
        <v>83</v>
      </c>
      <c r="S11" s="8"/>
      <c r="T11" s="8" t="s">
        <v>72</v>
      </c>
      <c r="U11" s="8"/>
      <c r="V11" s="8"/>
      <c r="W11" t="s">
        <v>101</v>
      </c>
    </row>
    <row r="12" spans="1:23" ht="64" ns3:dyDescent="0.2">
      <c r="A12" s="8" t="str" cm="1">
        <f t="array" ref="A12">TEXT(ROW(11:11),"000")</f>
        <v>011</v>
      </c>
      <c r="B12" s="8" t="s">
        <v>45</v>
      </c>
      <c r="C12" s="11" t="str">
        <f>A12 &amp; " - " &amp; B12</f>
        <v>011 - Magnetised Thermoplastics: Speculative Prosthetics</v>
      </c>
      <c r="D12" s="8" t="s">
        <v>8</v>
      </c>
      <c r="E12" s="8" t="s">
        <v>54</v>
      </c>
      <c r="F12" s="8" t="s">
        <v>21</v>
      </c>
      <c r="G12" s="7" t="s">
        <v>82</v>
      </c>
      <c r="H12" s="8" t="s">
        <v>17</v>
      </c>
      <c r="I12" s="8" t="s">
        <v>13</v>
      </c>
      <c r="J12" s="7" t="s">
        <v>92</v>
      </c>
      <c r="K12" s="8" t="s">
        <v>23</v>
      </c>
      <c r="L12" s="7" t="s">
        <v>15</v>
      </c>
      <c r="M12" s="7" t="s">
        <v>25</v>
      </c>
      <c r="N12" s="8" t="s">
        <v>16</v>
      </c>
      <c r="O12" s="8"/>
      <c r="P12" s="8"/>
      <c r="Q12" s="8"/>
      <c r="R12" s="8" t="s">
        <v>85</v>
      </c>
      <c r="S12" s="8" t="s">
        <v>86</v>
      </c>
      <c r="T12" s="8" t="s">
        <v>87</v>
      </c>
      <c r="U12" s="8"/>
      <c r="V12" s="8"/>
      <c r="W12" t="s">
        <v>102</v>
      </c>
    </row>
    <row r="13" spans="1:23" ht="96" ns3:dyDescent="0.2">
      <c r="A13" s="8" t="str" cm="1">
        <f t="array" ref="A13">TEXT(ROW(12:12),"000")</f>
        <v>012</v>
      </c>
      <c r="B13" s="8" t="s">
        <v>46</v>
      </c>
      <c r="C13" s="11" t="str">
        <f>A13 &amp; " - " &amp; B13</f>
        <v>012 - Windows of Influence</v>
      </c>
      <c r="D13" s="8" t="s">
        <v>30</v>
      </c>
      <c r="E13" s="8" t="s">
        <v>55</v>
      </c>
      <c r="F13" s="8" t="s">
        <v>62</v>
      </c>
      <c r="G13" s="7" t="s">
        <v>81</v>
      </c>
      <c r="H13" s="8" t="s">
        <v>22</v>
      </c>
      <c r="I13" s="8" t="s">
        <v>32</v>
      </c>
      <c r="J13" s="7" t="s">
        <v>90</v>
      </c>
      <c r="K13" s="8" t="s">
        <v>33</v>
      </c>
      <c r="L13" s="7" t="s">
        <v>64</v>
      </c>
      <c r="M13" s="7" t="s">
        <v>34</v>
      </c>
      <c r="N13" s="8" t="s">
        <v>35</v>
      </c>
      <c r="O13" s="8"/>
      <c r="P13" s="8"/>
      <c r="Q13" s="8"/>
      <c r="R13" s="8"/>
      <c r="S13" s="8" t="s">
        <v>84</v>
      </c>
      <c r="T13" s="8" t="s">
        <v>19</v>
      </c>
      <c r="U13" s="8"/>
      <c r="V13" s="8"/>
      <c r="W13" t="s">
        <v>103</v>
      </c>
    </row>
    <row r="14" spans="1:23" ht="32" ns3:dyDescent="0.2">
      <c r="A14" s="8" t="str" cm="1">
        <f t="array" ref="A14">TEXT(ROW(13:13),"000")</f>
        <v>013</v>
      </c>
      <c r="B14" s="8" t="s">
        <v>47</v>
      </c>
      <c r="C14" s="11" t="str">
        <f>A14 &amp; " - " &amp; B14</f>
        <v>013 - Ecological Twinning</v>
      </c>
      <c r="D14" s="8" t="s">
        <v>30</v>
      </c>
      <c r="E14" s="8"/>
      <c r="F14" s="8" t="s">
        <v>31</v>
      </c>
      <c r="G14" s="7" t="s">
        <v>81</v>
      </c>
      <c r="H14" s="8" t="s">
        <v>22</v>
      </c>
      <c r="I14" s="8" t="s">
        <v>32</v>
      </c>
      <c r="J14" s="7" t="s">
        <v>91</v>
      </c>
      <c r="K14" s="8" t="s">
        <v>33</v>
      </c>
      <c r="L14" s="7" t="s">
        <v>65</v>
      </c>
      <c r="M14" s="7" t="s">
        <v>34</v>
      </c>
      <c r="N14" s="8" t="s">
        <v>35</v>
      </c>
      <c r="O14" s="8"/>
      <c r="P14" s="8"/>
      <c r="Q14" s="8"/>
      <c r="R14" s="8"/>
      <c r="S14" s="8"/>
      <c r="T14" s="8" t="s">
        <v>72</v>
      </c>
      <c r="U14" s="8"/>
      <c r="V14" s="8"/>
      <c r="W14" t="s">
        <v>104</v>
      </c>
    </row>
  </sheetData>
  <dataValidations disablePrompts="1" count="17">
    <dataValidation type="list" allowBlank="1" showInputMessage="1" showErrorMessage="1" sqref="N2:N7 N10:N14" ns2:uid="{36FBB445-460D-A64A-A4D8-29EC42430E96}">
      <formula1>"NA, diagram, webpage, prototype, zine, film, sensor system, database, speculative interface"</formula1>
    </dataValidation>
    <dataValidation type="list" allowBlank="1" showInputMessage="1" showErrorMessage="1" sqref="K2:K7 K63:K89 K10:K14" ns2:uid="{185C8E05-9A1A-6E40-B9B8-877010B27E08}">
      <formula1>"NA, event-based, cyclical, seasonal, developmental, lifecycle, intergenerational, memory-based, speculative, future"</formula1>
    </dataValidation>
    <dataValidation type="list" allowBlank="1" showInputMessage="1" showErrorMessage="1" sqref="I2:I7 I63:I101 I10:I14" ns2:uid="{6F307598-CD31-534C-9E0E-0C4F28C61796}">
      <formula1>"NA, closed, semi-open, open, contested"</formula1>
    </dataValidation>
    <dataValidation type="list" allowBlank="1" showInputMessage="1" showErrorMessage="1" sqref="J63:J100" ns2:uid="{0849AB48-6128-4F45-82F2-F8F1FFF77DDE}">
      <formula1>"material scale, sensor scale, organism scale, habitat scale, landscape scale, governance scale, infrastructure scale, planetary scale"</formula1>
    </dataValidation>
    <dataValidation type="list" allowBlank="1" showInputMessage="1" showErrorMessage="1" sqref="E2" ns2:uid="{CC9C5A39-EDB8-D74C-82BC-3A9CEC4A0384}">
      <formula1>$B$2:$B$16</formula1>
    </dataValidation>
    <dataValidation type="list" allowBlank="1" showInputMessage="1" showErrorMessage="1" sqref="H73:H74 F63:G74" ns2:uid="{6A6613C0-30BF-C34A-9BE9-01DA02CE0886}">
      <formula1>"extension, inversion, domain-shift, material shift, state-shift, scale-shift, time-shift, system-opening, system-closing, hybridisation, abstraction, materialisation, pause, recouple, dead-end"</formula1>
    </dataValidation>
    <dataValidation type="list" allowBlank="1" showInputMessage="1" showErrorMessage="1" sqref="H2:H7 H10:H14" ns2:uid="{7C9AE753-88A0-3747-92A5-FE85F49CF2F0}">
      <formula1>"Non [Analogue], Non [Digital], Feedback [Digital]"</formula1>
    </dataValidation>
    <dataValidation type="list" allowBlank="1" showInputMessage="1" showErrorMessage="1" sqref="F11:F14" ns2:uid="{26447154-5027-2441-86BE-3B1E90A933BC}">
      <formula1>" , extension, inversion, scaffold type, domain-shift, dimensions shift, material shift, state-shift, scale-shift, time-shift, system-opening, system-closing, hybridisation, abstraction, materialisation, pause, recouple, dead-end"</formula1>
    </dataValidation>
    <dataValidation type="list" allowBlank="1" showInputMessage="1" showErrorMessage="1" sqref="L2:L7 L10:L14" ns2:uid="{D3571AF0-66A8-A147-ACEB-A0BC74211EC0}">
      <formula1>"stimulus-response, exchange, cascade, leak, pause, recouple, governance, dissent"</formula1>
    </dataValidation>
    <dataValidation type="list" allowBlank="1" showInputMessage="1" showErrorMessage="1" sqref="M12:M14" ns2:uid="{7E6C5984-4675-8A40-9D14-85BAEEB97770}">
      <formula1>"zombie mode, matrix rogues, relational unflattening, contested regions, governance leakiness, ecological attunement, ghosts, evolvable parameters, dissenting twins, non identical twins"</formula1>
    </dataValidation>
    <dataValidation type="list" allowBlank="1" showInputMessage="1" showErrorMessage="1" sqref="E3:E14" ns2:uid="{4F329D7F-EFD6-0843-9221-695C4FB5F7C3}">
      <formula1>$C$2:$C$16</formula1>
    </dataValidation>
    <dataValidation type="list" allowBlank="1" showInputMessage="1" showErrorMessage="1" sqref="T10:T14 F3:F7 T2:T7 F10" ns2:uid="{D553B9AD-BDED-AA4B-BDBA-A028E889E849}">
      <formula1>"localised growth, digital communication, extension, scaffold type, domain-shift, dimensions-shift, material-shift, state-shift, scale-shift, time-shift, system-opening, system-closing, abstraction, materialisation, dead-end"</formula1>
    </dataValidation>
    <dataValidation type="list" allowBlank="1" showInputMessage="1" showErrorMessage="1" sqref="M2:M7 M10:M11" ns2:uid="{20DFA6FC-FFD2-324D-9E1A-6B65747C9041}">
      <formula1>"turbulence, available adaptation, maintanence, zombie, temporal interactions, rogues, relational unflattening, contested regions, leakiness, attunement, ghosts, evolvable parameters, dissenting twins, non identical twins"</formula1>
    </dataValidation>
    <dataValidation type="list" allowBlank="1" showInputMessage="1" showErrorMessage="1" sqref="G2:G7 G13:G14" ns2:uid="{B4E5C762-32DC-6742-8591-F072C445943E}">
      <formula1>"Rigid, Liquid, Digital"</formula1>
    </dataValidation>
    <dataValidation type="list" allowBlank="1" showInputMessage="1" showErrorMessage="1" sqref="G10:G12" ns2:uid="{021E841D-BAB7-4548-A6D8-A89E20B01CEC}">
      <formula1>"Rigid, Liquid, Stimuli + State, Digital"</formula1>
    </dataValidation>
    <dataValidation type="list" allowBlank="1" showInputMessage="1" showErrorMessage="1" sqref="D2:D14" ns2:uid="{C111673B-7011-D849-8221-1749C401772F}">
      <formula1>"forming, executed, informal, articulated, suspended, evolving, dead"</formula1>
    </dataValidation>
    <dataValidation type="list" allowBlank="1" showInputMessage="1" showErrorMessage="1" sqref="J2:J14" ns2:uid="{C08E8040-6862-4548-A333-289E125343F2}">
      <formula1>"Materials, Objects, Bodies, Ecologies, Governance"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TEMP_conceptual evolution tree_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Blaney, Adam</dc:creator>
  <cp:lastModifiedBy>Blaney, Adam</cp:lastModifiedBy>
  <dcterms:created xsi:type="dcterms:W3CDTF">2026-07-17T10:14:03Z</dcterms:created>
  <dcterms:modified xsi:type="dcterms:W3CDTF">2026-07-21T14:28:22Z</dcterms:modified>
</cp:coreProperties>
</file>